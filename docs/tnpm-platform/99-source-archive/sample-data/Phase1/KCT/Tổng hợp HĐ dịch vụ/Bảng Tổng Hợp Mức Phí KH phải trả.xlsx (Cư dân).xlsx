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tunt10\OneDrive - ROX GROUP\Desktop\"/>
    </mc:Choice>
  </mc:AlternateContent>
  <xr:revisionPtr revIDLastSave="0" documentId="8_{D95BBADC-A31F-476C-BF20-A66F1A88CC9A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Đơn giá điện" sheetId="3" state="hidden" r:id="rId1"/>
    <sheet name="Đơn giá PDV khác" sheetId="4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4" l="1"/>
  <c r="S29" i="3"/>
  <c r="O29" i="3"/>
  <c r="P29" i="3" s="1"/>
  <c r="K29" i="3"/>
  <c r="J29" i="3"/>
  <c r="H29" i="3"/>
  <c r="S28" i="3"/>
  <c r="O28" i="3"/>
  <c r="P28" i="3" s="1"/>
  <c r="K28" i="3"/>
  <c r="J28" i="3"/>
  <c r="H28" i="3"/>
  <c r="S27" i="3"/>
  <c r="T27" i="3" s="1"/>
  <c r="K27" i="3"/>
  <c r="L27" i="3" s="1"/>
  <c r="I27" i="3"/>
  <c r="H27" i="3"/>
  <c r="S26" i="3"/>
  <c r="T26" i="3" s="1"/>
  <c r="K26" i="3"/>
  <c r="L26" i="3" s="1"/>
  <c r="I26" i="3"/>
  <c r="H26" i="3"/>
  <c r="S25" i="3"/>
  <c r="T25" i="3" s="1"/>
  <c r="K25" i="3"/>
  <c r="L25" i="3" s="1"/>
  <c r="I25" i="3"/>
  <c r="H25" i="3"/>
  <c r="S24" i="3"/>
  <c r="O24" i="3"/>
  <c r="P24" i="3" s="1"/>
  <c r="K24" i="3"/>
  <c r="J24" i="3"/>
  <c r="H24" i="3"/>
  <c r="S23" i="3"/>
  <c r="O23" i="3"/>
  <c r="P23" i="3" s="1"/>
  <c r="K23" i="3"/>
  <c r="J23" i="3"/>
  <c r="H23" i="3"/>
  <c r="S22" i="3"/>
  <c r="T22" i="3" s="1"/>
  <c r="K22" i="3"/>
  <c r="L22" i="3" s="1"/>
  <c r="I22" i="3"/>
  <c r="H22" i="3"/>
  <c r="S21" i="3"/>
  <c r="T21" i="3" s="1"/>
  <c r="K21" i="3"/>
  <c r="L21" i="3" s="1"/>
  <c r="I21" i="3"/>
  <c r="H21" i="3"/>
  <c r="S20" i="3"/>
  <c r="T20" i="3" s="1"/>
  <c r="K20" i="3"/>
  <c r="L20" i="3" s="1"/>
  <c r="I20" i="3"/>
  <c r="H20" i="3"/>
  <c r="S19" i="3"/>
  <c r="O19" i="3"/>
  <c r="P19" i="3" s="1"/>
  <c r="K19" i="3"/>
  <c r="J19" i="3"/>
  <c r="H19" i="3"/>
  <c r="S18" i="3"/>
  <c r="O18" i="3"/>
  <c r="P18" i="3" s="1"/>
  <c r="K18" i="3"/>
  <c r="J18" i="3"/>
  <c r="H18" i="3"/>
  <c r="S17" i="3"/>
  <c r="T17" i="3" s="1"/>
  <c r="K17" i="3"/>
  <c r="L17" i="3" s="1"/>
  <c r="I17" i="3"/>
  <c r="H17" i="3"/>
  <c r="S16" i="3"/>
  <c r="T16" i="3" s="1"/>
  <c r="K16" i="3"/>
  <c r="L16" i="3" s="1"/>
  <c r="I16" i="3"/>
  <c r="H16" i="3"/>
  <c r="S15" i="3"/>
  <c r="T15" i="3" s="1"/>
  <c r="K15" i="3"/>
  <c r="L15" i="3" s="1"/>
  <c r="I15" i="3"/>
  <c r="H15" i="3"/>
  <c r="S14" i="3"/>
  <c r="O14" i="3"/>
  <c r="P14" i="3" s="1"/>
  <c r="K14" i="3"/>
  <c r="J14" i="3"/>
  <c r="H14" i="3"/>
  <c r="S13" i="3"/>
  <c r="O13" i="3"/>
  <c r="K13" i="3"/>
  <c r="J13" i="3"/>
  <c r="H13" i="3"/>
  <c r="S12" i="3"/>
  <c r="T12" i="3" s="1"/>
  <c r="K12" i="3"/>
  <c r="L12" i="3" s="1"/>
  <c r="I12" i="3"/>
  <c r="H12" i="3"/>
  <c r="S11" i="3"/>
  <c r="T11" i="3" s="1"/>
  <c r="K11" i="3"/>
  <c r="L11" i="3" s="1"/>
  <c r="I11" i="3"/>
  <c r="H11" i="3"/>
  <c r="S10" i="3"/>
  <c r="T10" i="3" s="1"/>
  <c r="K10" i="3"/>
  <c r="L10" i="3" s="1"/>
  <c r="I10" i="3"/>
  <c r="H10" i="3"/>
  <c r="T9" i="3"/>
  <c r="P9" i="3"/>
  <c r="N8" i="3"/>
  <c r="O8" i="3" s="1"/>
  <c r="P8" i="3" s="1"/>
  <c r="L8" i="3"/>
  <c r="S7" i="3"/>
  <c r="O7" i="3"/>
  <c r="P7" i="3" s="1"/>
  <c r="K7" i="3"/>
  <c r="J7" i="3"/>
  <c r="H7" i="3"/>
  <c r="G130" i="3"/>
  <c r="I130" i="3" s="1"/>
  <c r="G129" i="3"/>
  <c r="I129" i="3" s="1"/>
  <c r="G127" i="3"/>
  <c r="I127" i="3" s="1"/>
  <c r="I126" i="3" s="1"/>
  <c r="G125" i="3"/>
  <c r="I125" i="3" s="1"/>
  <c r="I124" i="3" s="1"/>
  <c r="G123" i="3"/>
  <c r="I123" i="3" s="1"/>
  <c r="G122" i="3"/>
  <c r="I122" i="3" s="1"/>
  <c r="G120" i="3"/>
  <c r="I120" i="3" s="1"/>
  <c r="I119" i="3" s="1"/>
  <c r="K105" i="3"/>
  <c r="G101" i="3"/>
  <c r="I101" i="3" s="1"/>
  <c r="I102" i="3" s="1"/>
  <c r="G99" i="3"/>
  <c r="I99" i="3" s="1"/>
  <c r="G98" i="3"/>
  <c r="I98" i="3" s="1"/>
  <c r="G97" i="3"/>
  <c r="I97" i="3" s="1"/>
  <c r="G96" i="3"/>
  <c r="I96" i="3" s="1"/>
  <c r="G95" i="3"/>
  <c r="I95" i="3" s="1"/>
  <c r="G94" i="3"/>
  <c r="I94" i="3" s="1"/>
  <c r="G93" i="3"/>
  <c r="I93" i="3" s="1"/>
  <c r="G92" i="3"/>
  <c r="I92" i="3" s="1"/>
  <c r="G91" i="3"/>
  <c r="I91" i="3" s="1"/>
  <c r="G90" i="3"/>
  <c r="I90" i="3" s="1"/>
  <c r="G89" i="3"/>
  <c r="I89" i="3" s="1"/>
  <c r="G88" i="3"/>
  <c r="I88" i="3" s="1"/>
  <c r="G87" i="3"/>
  <c r="I87" i="3" s="1"/>
  <c r="G86" i="3"/>
  <c r="I86" i="3" s="1"/>
  <c r="G85" i="3"/>
  <c r="I85" i="3" s="1"/>
  <c r="G84" i="3"/>
  <c r="I84" i="3" s="1"/>
  <c r="G83" i="3"/>
  <c r="I83" i="3" s="1"/>
  <c r="G82" i="3"/>
  <c r="I82" i="3" s="1"/>
  <c r="G80" i="3"/>
  <c r="I80" i="3" s="1"/>
  <c r="G79" i="3"/>
  <c r="I79" i="3" s="1"/>
  <c r="G78" i="3"/>
  <c r="I78" i="3" s="1"/>
  <c r="G76" i="3"/>
  <c r="I76" i="3" s="1"/>
  <c r="I75" i="3" s="1"/>
  <c r="G74" i="3"/>
  <c r="I74" i="3" s="1"/>
  <c r="G73" i="3"/>
  <c r="I73" i="3" s="1"/>
  <c r="G71" i="3"/>
  <c r="I71" i="3" s="1"/>
  <c r="G70" i="3"/>
  <c r="I70" i="3" s="1"/>
  <c r="L29" i="3" l="1"/>
  <c r="L13" i="3"/>
  <c r="L19" i="3"/>
  <c r="T13" i="3"/>
  <c r="T29" i="3"/>
  <c r="T19" i="3"/>
  <c r="L18" i="3"/>
  <c r="L24" i="3"/>
  <c r="T14" i="3"/>
  <c r="I69" i="3"/>
  <c r="L7" i="3"/>
  <c r="L28" i="3"/>
  <c r="L23" i="3"/>
  <c r="T28" i="3"/>
  <c r="T18" i="3"/>
  <c r="T23" i="3"/>
  <c r="T24" i="3"/>
  <c r="T7" i="3"/>
  <c r="L14" i="3"/>
  <c r="P13" i="3"/>
  <c r="S8" i="3"/>
  <c r="T8" i="3" s="1"/>
  <c r="I121" i="3"/>
  <c r="I128" i="3"/>
  <c r="I131" i="3" s="1"/>
  <c r="I132" i="3" s="1"/>
  <c r="I133" i="3" s="1"/>
  <c r="I77" i="3"/>
  <c r="I72" i="3"/>
  <c r="I81" i="3"/>
  <c r="I103" i="3" l="1"/>
  <c r="I106" i="3" s="1"/>
  <c r="I104" i="3" l="1"/>
  <c r="I105" i="3" s="1"/>
  <c r="I60" i="3"/>
  <c r="K60" i="3" s="1"/>
  <c r="E60" i="3"/>
  <c r="G60" i="3" s="1"/>
  <c r="I58" i="3"/>
  <c r="K58" i="3" s="1"/>
  <c r="E58" i="3"/>
  <c r="G58" i="3" s="1"/>
  <c r="I57" i="3"/>
  <c r="K57" i="3" s="1"/>
  <c r="E57" i="3"/>
  <c r="G57" i="3" s="1"/>
  <c r="I56" i="3"/>
  <c r="E56" i="3"/>
  <c r="C54" i="3"/>
  <c r="I54" i="3" s="1"/>
  <c r="K54" i="3" s="1"/>
  <c r="C53" i="3"/>
  <c r="E53" i="3" s="1"/>
  <c r="G53" i="3" s="1"/>
  <c r="C52" i="3"/>
  <c r="I52" i="3" s="1"/>
  <c r="E59" i="3" l="1"/>
  <c r="I59" i="3"/>
  <c r="I53" i="3"/>
  <c r="K53" i="3" s="1"/>
  <c r="J52" i="3"/>
  <c r="J55" i="3" s="1"/>
  <c r="F56" i="3"/>
  <c r="F59" i="3" s="1"/>
  <c r="E52" i="3"/>
  <c r="E54" i="3"/>
  <c r="G54" i="3" s="1"/>
  <c r="J56" i="3"/>
  <c r="J59" i="3" s="1"/>
  <c r="I55" i="3" l="1"/>
  <c r="K56" i="3"/>
  <c r="K59" i="3" s="1"/>
  <c r="G56" i="3"/>
  <c r="G59" i="3" s="1"/>
  <c r="K52" i="3"/>
  <c r="K55" i="3" s="1"/>
  <c r="E55" i="3"/>
  <c r="F52" i="3"/>
  <c r="F55" i="3" s="1"/>
  <c r="G52" i="3" l="1"/>
  <c r="G55" i="3" s="1"/>
</calcChain>
</file>

<file path=xl/sharedStrings.xml><?xml version="1.0" encoding="utf-8"?>
<sst xmlns="http://schemas.openxmlformats.org/spreadsheetml/2006/main" count="475" uniqueCount="232">
  <si>
    <t>Đơn giá Điện</t>
  </si>
  <si>
    <t>TT</t>
  </si>
  <si>
    <t>TTTM/ VP</t>
  </si>
  <si>
    <t>Đơn vị xuất hóa đơn</t>
  </si>
  <si>
    <t>Gian hàng</t>
  </si>
  <si>
    <t>Phân loại</t>
  </si>
  <si>
    <t>Đơn giá trước ngày 10/05/2025 (Đơn giá chưa bao gồm VAT)</t>
  </si>
  <si>
    <t>Đơn giá từ ngày 10/05/2025 (Đơn giá chưa bao gồm VAT)</t>
  </si>
  <si>
    <t>Đơn giá phân tách từ tháng 01/2026</t>
  </si>
  <si>
    <t>Ghi chú</t>
  </si>
  <si>
    <t>Đơn giá theo quy định (VNĐ)</t>
  </si>
  <si>
    <t>Hao tổn (VNĐ/KW)</t>
  </si>
  <si>
    <t>Tổng đơn giá (VNĐ)</t>
  </si>
  <si>
    <t>% điều chỉnh (VNĐ/KW)</t>
  </si>
  <si>
    <t>Hao tổn 10% (VNĐ/KW)</t>
  </si>
  <si>
    <t>Thuế suất đơn giá điện áp dụng</t>
  </si>
  <si>
    <t>Thuế suất phí hao tổn/ phí dịch vụ áp dụng</t>
  </si>
  <si>
    <t>TGV</t>
  </si>
  <si>
    <t>TNPM</t>
  </si>
  <si>
    <t>Tất cả các gian hàng</t>
  </si>
  <si>
    <t>Đơn giá áp dụng</t>
  </si>
  <si>
    <t>Tăng theo tỷ lệ 4.8%</t>
  </si>
  <si>
    <t>Điện điều hòa ngoài giờ</t>
  </si>
  <si>
    <t xml:space="preserve">Phí dịch vụ vận hành điều hòa ngoài giờ </t>
  </si>
  <si>
    <t>GSS</t>
  </si>
  <si>
    <t>Giờ thấp điểm</t>
  </si>
  <si>
    <t>Đơn giá điện lực mục 3.3</t>
  </si>
  <si>
    <t>Giờ bình thường</t>
  </si>
  <si>
    <t>Giờ cao điểm</t>
  </si>
  <si>
    <t>Khách hàng đặc thù (Trường học)</t>
  </si>
  <si>
    <t>Điện bảng biển quảng cáo và mộtsố gian hàng</t>
  </si>
  <si>
    <t>GMC</t>
  </si>
  <si>
    <t>GSC</t>
  </si>
  <si>
    <t>Các KH lớn (Siêu thị, LX, Amis, PHD, Hanosimex)</t>
  </si>
  <si>
    <t>GH nhỏ (Hoa quả và Hiệu Thuốc)</t>
  </si>
  <si>
    <t>BTT</t>
  </si>
  <si>
    <t>Tất cả các gian hàng khác (trừ Co.op Mart và Vinfast)</t>
  </si>
  <si>
    <t>Điện bảng biển quảng cáo</t>
  </si>
  <si>
    <t>Điện một số gian hàng công và khách lẻ</t>
  </si>
  <si>
    <t>Chi phí điện 1 giá áp dụng cho BQL ROX Tower GMC, BQL ROX Center 90DL</t>
  </si>
  <si>
    <t>STT</t>
  </si>
  <si>
    <t>Hạng Mục</t>
  </si>
  <si>
    <t xml:space="preserve">Phân Loại </t>
  </si>
  <si>
    <t>Đơn vị Tính</t>
  </si>
  <si>
    <t xml:space="preserve">Giá đề xuất phê duyệt </t>
  </si>
  <si>
    <t xml:space="preserve">Diễn Giải </t>
  </si>
  <si>
    <t xml:space="preserve">Biểu phí điện 1 giá </t>
  </si>
  <si>
    <t>Đơn giá trung bình</t>
  </si>
  <si>
    <t>VND/kw</t>
  </si>
  <si>
    <t>Đơn giá trung bình của giờ cao điểm + Bình thường</t>
  </si>
  <si>
    <t>Đơn giá tăng tỉ lệ thuận theo đơn giá tăng của điện lực</t>
  </si>
  <si>
    <t>Đơn giá điện ngoài giời TGV</t>
  </si>
  <si>
    <t>Công suất</t>
  </si>
  <si>
    <t>Thành tiền giá bán (VNĐ)</t>
  </si>
  <si>
    <t xml:space="preserve">Điện điều hòa FCU ngoài giờ </t>
  </si>
  <si>
    <t>Điện</t>
  </si>
  <si>
    <t>Nước</t>
  </si>
  <si>
    <t>FCU</t>
  </si>
  <si>
    <t xml:space="preserve">Điện điều hòa AHU ngoài giờ </t>
  </si>
  <si>
    <t>Điện đèn thang cuốn ngoài giờ</t>
  </si>
  <si>
    <t>BẢNG TỔNG TÍNH GIÁ VỐN VẬN HÀNH NGOÀI GIỜ ROX TOWER GMC</t>
  </si>
  <si>
    <t>Hạng mục</t>
  </si>
  <si>
    <t>Số lượng</t>
  </si>
  <si>
    <t>Công suất điện (kw)</t>
  </si>
  <si>
    <t>Hệ số  công suất</t>
  </si>
  <si>
    <t>Thời gian VH ngoài giờ(h)</t>
  </si>
  <si>
    <t>Tổng CS điện tiêu thụ (kwh)</t>
  </si>
  <si>
    <t>Thành tiền/ giờ</t>
  </si>
  <si>
    <t>A</t>
  </si>
  <si>
    <t>Điện công cộng</t>
  </si>
  <si>
    <t>Đèn Dowline 9 W</t>
  </si>
  <si>
    <t>Đèn ốp trần 15W</t>
  </si>
  <si>
    <t>B</t>
  </si>
  <si>
    <t xml:space="preserve">Quạt Hút </t>
  </si>
  <si>
    <t xml:space="preserve">Hút mùi ẩm thực </t>
  </si>
  <si>
    <t>Hút mùi vệ sinh</t>
  </si>
  <si>
    <t>C</t>
  </si>
  <si>
    <t>Khí tươi</t>
  </si>
  <si>
    <t>Pau  210kW</t>
  </si>
  <si>
    <t>D</t>
  </si>
  <si>
    <t xml:space="preserve">Thang máy </t>
  </si>
  <si>
    <t xml:space="preserve">Thang cuốn </t>
  </si>
  <si>
    <t xml:space="preserve">Thang  nâng hàng </t>
  </si>
  <si>
    <t>E</t>
  </si>
  <si>
    <t>Chi phí điện điều hòa ngoài giờ</t>
  </si>
  <si>
    <t>Chiller</t>
  </si>
  <si>
    <t xml:space="preserve">Bơm nước lạnh sơ cấp </t>
  </si>
  <si>
    <t xml:space="preserve">Bơm lạnh thứ cấp </t>
  </si>
  <si>
    <t xml:space="preserve">Bơm lạnh trục cao tầng </t>
  </si>
  <si>
    <t>Bơm tháp giải nhiệt</t>
  </si>
  <si>
    <t>Quạt Tháp giải nhiệt</t>
  </si>
  <si>
    <t>Bơm bù nước tháp</t>
  </si>
  <si>
    <t>FCU hành lang 4.3 Kw</t>
  </si>
  <si>
    <t>FCU hành lang  20.1 kw</t>
  </si>
  <si>
    <t>FCU hành lang 5.64 KW</t>
  </si>
  <si>
    <t>FCU hành lang 7.91 KW</t>
  </si>
  <si>
    <t>FCU hành lang 9.94 KW</t>
  </si>
  <si>
    <t>FCU hành Lang 20.3 KW</t>
  </si>
  <si>
    <t>FCU hành lang 15.45 KW</t>
  </si>
  <si>
    <t>FCU Gian hàng  9.94 KW</t>
  </si>
  <si>
    <t>FCU Gian Hàng  15.45 KW</t>
  </si>
  <si>
    <t>FCU gian hàng  20.3 KW</t>
  </si>
  <si>
    <t>FCU gian hàng 7.91 KW</t>
  </si>
  <si>
    <t>Nước tháp giải nhiệt</t>
  </si>
  <si>
    <t>Số tháp giải nhiệt</t>
  </si>
  <si>
    <t>Lưu lượng nước qua dàn bay hơi chiller (m3/h)</t>
  </si>
  <si>
    <t>Hệ số công suất</t>
  </si>
  <si>
    <t>Số m3 nước cấp bù cho tháp giải nhiệt và khu WC (m3)</t>
  </si>
  <si>
    <t>Nước bù tháp giải nhiệt</t>
  </si>
  <si>
    <t>F</t>
  </si>
  <si>
    <t>Chi phí nước</t>
  </si>
  <si>
    <t>Tổng cộng</t>
  </si>
  <si>
    <t>CP quản lý + CP phân bổ</t>
  </si>
  <si>
    <t>TỔNG CHI PHÍ PDV Điện ngoài giờ (Bao gồm điện công cộng, quạt hút, thang máy, điều hoà)</t>
  </si>
  <si>
    <t>Số quản trị</t>
  </si>
  <si>
    <t>TỔNG CHI PHÍ PDV Điện ngoài giờ (Bao gồm điện công cộng, quạt hút, thang máy)</t>
  </si>
  <si>
    <t>=</t>
  </si>
  <si>
    <t>TỔNG CHI PHÍ điện chiếu sáng công cộng</t>
  </si>
  <si>
    <t>TỔNG CHI PHÍ điện quạt hút</t>
  </si>
  <si>
    <t>TỔNG CHI PHÍ điện khí tươi</t>
  </si>
  <si>
    <t>TỔNG CHI PHÍ điện thang máy</t>
  </si>
  <si>
    <t>BẢNG TỔNG TÍNH GIÁ VỐN VẬN HÀNH NGOÀI GIỜ 90ĐL</t>
  </si>
  <si>
    <t>Đèn chiếu sáng hành lang, sảnh thang máy thương mại, sảnh nhà vệ sinh</t>
  </si>
  <si>
    <t>Quạt thông gió nhà vệ sinh</t>
  </si>
  <si>
    <t>Đèn chiếu sáng nhà vệ sinh</t>
  </si>
  <si>
    <t>Thiết bị HRV</t>
  </si>
  <si>
    <t>Dàn nóng điều hòa 01</t>
  </si>
  <si>
    <t>Công suất  01 dàn lạnh</t>
  </si>
  <si>
    <t>Chốt làm tròn số quản trị</t>
  </si>
  <si>
    <t xml:space="preserve">Đơn giá Nước </t>
  </si>
  <si>
    <t>Bóc tách từ tháng 01/2026</t>
  </si>
  <si>
    <t>Dự án</t>
  </si>
  <si>
    <t>Đơn vị tính</t>
  </si>
  <si>
    <t xml:space="preserve">Đơn giá theo quy định </t>
  </si>
  <si>
    <t>Phí bảo vệ MT</t>
  </si>
  <si>
    <t>Phí DV Thoát nước</t>
  </si>
  <si>
    <t>Môi trường rừng</t>
  </si>
  <si>
    <t>Hao tổn 10% ( Nước +PBVMT)</t>
  </si>
  <si>
    <t>Tổng đơn giá trước VAT/m2 nước</t>
  </si>
  <si>
    <t>Thuế suất tiền nước</t>
  </si>
  <si>
    <t>Thuế suất phí Hao tổn</t>
  </si>
  <si>
    <t>m3</t>
  </si>
  <si>
    <t xml:space="preserve">Đơn giá chưa VAT
-Nước sinh hoạt:
Bậc 1: &lt;=10m3: 8.500đ/m2
Bậc 2: &lt;=20m3: 9.900đ/m3
Bậc 3: &lt;=30m3: 16.000đ/m3
Bậc 4: &gt;30m3: 27.000đ/m3
</t>
  </si>
  <si>
    <t>10%</t>
  </si>
  <si>
    <t>Đơn giá chưa VAT
-Nước sinh hoạt:
Bậc 1: &lt;=10m3: 8.500đ/m2
Bậc 2: &lt;=20m3: 9.900đ/m3
Bậc 3: &lt;=30m3: 16.000đ/m3
Bậc 4: &gt;30m3: 27.000đ/m3
- Nước kinh doanh: 29.000đ/m3</t>
  </si>
  <si>
    <t>5%</t>
  </si>
  <si>
    <t>Không áp dụng hao tổn với khách hàng cư dân</t>
  </si>
  <si>
    <t>Terra</t>
  </si>
  <si>
    <t xml:space="preserve">
</t>
  </si>
  <si>
    <t>Kosmo</t>
  </si>
  <si>
    <t>Đơn giá chưa VAT
-Nước sinh hoạt:
Bậc 1: &lt;=10m3: 8.500đ/m2
Bậc 2: &lt;=20m3: 9.900đ/m3
Bậc 3: &lt;=30m3: 16.000đ/m3
Bậc 4: &gt;30m3: 27.000đ/m3
- Nước kinh doanh: 29.000đ/m3
- Nước HCSN: 13.500đ/m3</t>
  </si>
  <si>
    <t>-Nước sinh hoạt:
Bậc 1: &lt;=10m3: 850đ/m2
Bậc 2: &lt;=20m3: 990đ/m3
Bậc 3: &lt;=30m3: 1.600đ/m3
Bậc 4: &gt;30m3: 2.700đ/m3
- Nước kinh doanh: 2.900đ/m3
- Nước HCSN: 1.350đ/m3</t>
  </si>
  <si>
    <t>90 ĐL</t>
  </si>
  <si>
    <t>Lacasta</t>
  </si>
  <si>
    <t>Đơn giá phí xe máy</t>
  </si>
  <si>
    <t>Đơn giá phí xe máy vãng lai</t>
  </si>
  <si>
    <t>Nội Dung</t>
  </si>
  <si>
    <t>Giá phí dịch vụ</t>
  </si>
  <si>
    <t>Ghi Chú</t>
  </si>
  <si>
    <t>Dành cho cư dân:
- 2 xe máy đầu: 72,727 đ
- xe máy thứ 3: 90,909 đ
Dành cho khách TTTM:
- 109,091 đ</t>
  </si>
  <si>
    <t>Gía chưa bao gồm VAT 8%</t>
  </si>
  <si>
    <t>- Ngày (từ 7h00 đến 19h00): 5000 đ
- Đêm (19h00 đến 7h00 hôm sau): 5000 đ
- Cả ngày đêm: 10000 đ</t>
  </si>
  <si>
    <t>chưa VAT</t>
  </si>
  <si>
    <t>từ 6h-22h: 3000đ
từ 22h-6h: 5000đ</t>
  </si>
  <si>
    <t>Từ 07h00 đến 21h59: 5.000 đ
Từ 22h00 đến 06h49 hôm sau: 5.000 đ</t>
  </si>
  <si>
    <t>Từ 06h00 đến 18h00: 5.000 đ
Từ 18h00 đến 24h00: 5.000 đ
Từ 24h00 đến 06h00 hôm sau: 15.000 đ</t>
  </si>
  <si>
    <t>3 log tính tiền</t>
  </si>
  <si>
    <t>Xe máy điện: 220.000/tháng
Phí sạc: 100.000</t>
  </si>
  <si>
    <t>5.000/ 8 giờ đầu
1.000 những giờ tiếp theo</t>
  </si>
  <si>
    <t>1 ngày đêm: 28.000</t>
  </si>
  <si>
    <t>Cư dân: 80k/tháng
VP TTTM: 100k/tháng</t>
  </si>
  <si>
    <t>6:00-18:00: 3.000đ/lượt
18:00-6:00: 5.000đ/lượt</t>
  </si>
  <si>
    <t>Đơn giá phí xe đạp/đạp điện</t>
  </si>
  <si>
    <t>Đơn giá phí xe đạp/xe điện vãng lai</t>
  </si>
  <si>
    <t>*dành cho cư dân:
- xe đạp: 22,727 đ
- xe đạp điện: 81,818 đ
- 2 xm điện có sạc đầu: 118,182 đ
- xm điện có sạc thứ 3: 136,364 đ
*dành cho khách TTTM:
- xe đạp điện: 90,909 đ
- xe máy điện: 109,091 đ
- xe đạp: 22,727 đ</t>
  </si>
  <si>
    <t>*xe đạp:
- ngày (từ 7h00 -19h00): 2000 đ
- đêm (19h00 đến 7h00 hôm sau): 3000 đ
- cả ngày đêm: 5000 đ
xe đạp-máy điện:
- ngày: 3000 đ
- đêm: 3000 đ
- cả ngày đêm: 6000 đ</t>
  </si>
  <si>
    <t>Xe đạp: miễn phí
Xe đạp điện: 81,818
Xe máy điện: 100,000</t>
  </si>
  <si>
    <t>Xe đạp: 25.000Đ
Xe điện có sạc: 90.000Đ</t>
  </si>
  <si>
    <t>Xe đạp
Từ 07h00 đến 21h59: 2.000 đ
Từ 22h00 đến 06h49 hôm sau: 3.000 đ</t>
  </si>
  <si>
    <t>Xe điện
Từ 07h00 đến 21h59: 3.000 đ
Từ 22h00 đến 06h49 hôm sau: 3.000 đ</t>
  </si>
  <si>
    <t>xe điện: 90.000
Phí sạc: 40.000</t>
  </si>
  <si>
    <t xml:space="preserve">Xe đạp điện: 150.000
Phí sạc: 100.000 </t>
  </si>
  <si>
    <t>Ban ngày: 3.000/lượt
Ban đêm: 5.000/lượt</t>
  </si>
  <si>
    <t>Ban ngày: 6-22h
Ban đêm: 22h-6h</t>
  </si>
  <si>
    <t>Xe đạp: Miễn phí
XDD: Cư dân 80k/tháng
VP TTTM 100k/tháng</t>
  </si>
  <si>
    <t>Đơn giá phí xe oto</t>
  </si>
  <si>
    <t>Đơn giá phí xe ô tô vãng lai</t>
  </si>
  <si>
    <t>*Dành cho cư dân: 
- 1,227,273 đ
*Dành cho khách TTTM
- ô tô thứ 1: 1,454,545 đ
- ô tô thứ 2: 1,636,364 đ</t>
  </si>
  <si>
    <t>30,000 đ/2h đầu
15.000 đ/1h tiếp theo</t>
  </si>
  <si>
    <t>xe 1: 1,136,364
xe 2: 1,363,636</t>
  </si>
  <si>
    <t>2h đầu: 30,000đ
1h tiếp theo: 15,000đ</t>
  </si>
  <si>
    <t>xe thứ nhất: 1.250.000đ
xe thứ hai: 1.527.777đ</t>
  </si>
  <si>
    <t>30.000/ 2 giờ đầu
15.000 những giờ tiếp theo</t>
  </si>
  <si>
    <t xml:space="preserve">- Phí gửi xe ô tô Thứ nhất chính chủ: 1.350.000đ
- Phí gửi xe ô tô thứ 2 trong căn hộ/ Xe của khách thuê, xe khối thấp tầng, xe của gian hàng thương mại  : 1.550.000đ </t>
  </si>
  <si>
    <t>- 20.000đ/ giờ
- qua 1 ngày đêm là 120.000đ</t>
  </si>
  <si>
    <t>Phí đỗ ô tô ở hầm: 1.500.000đ
Phí đỗ xe ngoài trời: 1.200.000đ</t>
  </si>
  <si>
    <t>2 giờ đầu: 30.000đ
Các giờ sau là: +10.000đ/giờ</t>
  </si>
  <si>
    <t>Xe thứ nhất: 1.000.000đ/tháng
Xe thứ hai: 1.500.000đ/tháng</t>
  </si>
  <si>
    <t>120 phút/Block
6:00-18:00: 20.000đ/lượt
18:00-6:00: 30.000đ/lượt</t>
  </si>
  <si>
    <t>Phí tiền điện</t>
  </si>
  <si>
    <t>Phí dịch vụ</t>
  </si>
  <si>
    <t>Tòa nhà</t>
  </si>
  <si>
    <t>Nội dung</t>
  </si>
  <si>
    <t>Phí điện</t>
  </si>
  <si>
    <t>8,520/m2</t>
  </si>
  <si>
    <t>đã bao gồm VAT</t>
  </si>
  <si>
    <t>7,000đ/m2</t>
  </si>
  <si>
    <t>ko thu điện của cư dân</t>
  </si>
  <si>
    <t>7.500đ/m2</t>
  </si>
  <si>
    <t>đã chưa bg VAT 10%</t>
  </si>
  <si>
    <t xml:space="preserve">- </t>
  </si>
  <si>
    <t>- Phí dịch vụ của TMDV: 15.000d/m2
- Phí DV của Thấp tầng: 10.000đ/m2</t>
  </si>
  <si>
    <t>- Căn hộ, căn thương mại: 16.000đ/m2
- Rạp chiếu phim Lotte: 46.540đ/m2</t>
  </si>
  <si>
    <t>Điện thấp điểm: 1.918
Điện cao điểm: 5.422
Giờ bình thường: 3.152</t>
  </si>
  <si>
    <t>Đơn giá chưa VAT</t>
  </si>
  <si>
    <t>3.337đ</t>
  </si>
  <si>
    <t>- Căn hộ: 9.500đ/m2
- TTTM: 11.500đ/m2</t>
  </si>
  <si>
    <t>Phí cọc thi công</t>
  </si>
  <si>
    <t>Phí khác (nếu có)</t>
  </si>
  <si>
    <t>Diện tích thuê</t>
  </si>
  <si>
    <t>Đặt cọc thi công</t>
  </si>
  <si>
    <t>Lệ phí thi công(không bao gồm điện, nước)</t>
  </si>
  <si>
    <t>Lệ phí</t>
  </si>
  <si>
    <t>100,000 đ/ngày</t>
  </si>
  <si>
    <t>100.000đ/ngày</t>
  </si>
  <si>
    <t>thẻ các loại 50.000đ/c</t>
  </si>
  <si>
    <t>đơn giá áp dụng cho cư dân</t>
  </si>
  <si>
    <t>- Đặt cọc thi công 50.000.000đ/ căn/ lần thi công</t>
  </si>
  <si>
    <t>-Căn hộ: 
+ Thi công nhẹ: 15.000.000đ
+ Thi công nặng: 35.000.000đ
-Căn thương mại: 
+ Thi công nhẹ: 50.000.000đ
+ Thi công nặng: 100.000.000đ</t>
  </si>
  <si>
    <t>- Phí standee: 1.000.000đ/sảnh/tháng</t>
  </si>
  <si>
    <t>5.000.000</t>
  </si>
  <si>
    <t>- Phí standee: 500.000đ/cái/sảnh/tháng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</si>
</sst>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%"/>
    <numFmt numFmtId="165" formatCode="_(* #,##0_);_(* \(#,##0\);_(* &quot;-&quot;??_);_(@_)"/>
    <numFmt numFmtId="166" formatCode="0.0"/>
  </numFmts>
  <fonts count="2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.5"/>
      <color theme="1"/>
      <name val="Times New Roman"/>
      <family val="1"/>
      <charset val="163"/>
    </font>
    <font>
      <sz val="10.5"/>
      <color theme="1"/>
      <name val="Times New Roman"/>
      <family val="1"/>
      <charset val="163"/>
    </font>
    <font>
      <b/>
      <sz val="10.5"/>
      <color rgb="FFFF0000"/>
      <name val="Times New Roman"/>
      <family val="1"/>
      <charset val="163"/>
    </font>
    <font>
      <b/>
      <i/>
      <sz val="10.5"/>
      <color theme="1"/>
      <name val="Times New Roman"/>
      <family val="1"/>
      <charset val="163"/>
    </font>
    <font>
      <b/>
      <sz val="11"/>
      <color rgb="FF000000"/>
      <name val="Times New Roman"/>
      <family val="1"/>
      <charset val="163"/>
    </font>
    <font>
      <b/>
      <sz val="11"/>
      <color theme="1"/>
      <name val="Times New Roman"/>
      <family val="1"/>
      <charset val="163"/>
    </font>
    <font>
      <b/>
      <sz val="10.5"/>
      <name val="Times New Roman"/>
      <family val="1"/>
      <charset val="163"/>
    </font>
    <font>
      <b/>
      <sz val="9"/>
      <color rgb="FF000000"/>
      <name val="Times New Roman"/>
      <family val="1"/>
      <charset val="163"/>
    </font>
    <font>
      <sz val="11"/>
      <color theme="1"/>
      <name val="Times New Roman"/>
      <family val="1"/>
      <charset val="163"/>
    </font>
    <font>
      <b/>
      <sz val="12"/>
      <color theme="1"/>
      <name val="Times New Roman"/>
      <family val="1"/>
      <charset val="163"/>
    </font>
    <font>
      <sz val="12"/>
      <color theme="1"/>
      <name val="Times New Roman"/>
      <family val="1"/>
      <charset val="163"/>
    </font>
    <font>
      <b/>
      <sz val="10"/>
      <color theme="1"/>
      <name val="Times New Roman"/>
      <family val="1"/>
      <charset val="163"/>
    </font>
    <font>
      <sz val="10"/>
      <color theme="1"/>
      <name val="Times New Roman"/>
      <family val="1"/>
      <charset val="163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000000"/>
      <name val="Arial"/>
    </font>
    <font>
      <sz val="11"/>
      <color rgb="FF242424"/>
      <name val="Aptos Narrow"/>
      <charset val="1"/>
    </font>
  </fonts>
  <fills count="10">
    <fill>
      <patternFill patternType="none"/>
    </fill>
    <fill>
      <patternFill patternType="gray125"/>
    </fill>
    <fill>
      <patternFill patternType="solid">
        <fgColor rgb="FFFAE2D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7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3" fontId="4" fillId="4" borderId="2" xfId="0" applyNumberFormat="1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3" fillId="0" borderId="0" xfId="0" applyFont="1"/>
    <xf numFmtId="0" fontId="2" fillId="3" borderId="2" xfId="0" applyFont="1" applyFill="1" applyBorder="1"/>
    <xf numFmtId="165" fontId="2" fillId="3" borderId="2" xfId="1" applyNumberFormat="1" applyFont="1" applyFill="1" applyBorder="1" applyAlignment="1">
      <alignment vertical="center" wrapText="1"/>
    </xf>
    <xf numFmtId="166" fontId="2" fillId="0" borderId="0" xfId="0" applyNumberFormat="1" applyFont="1"/>
    <xf numFmtId="0" fontId="3" fillId="0" borderId="2" xfId="0" applyFont="1" applyBorder="1"/>
    <xf numFmtId="0" fontId="3" fillId="4" borderId="2" xfId="0" applyFont="1" applyFill="1" applyBorder="1"/>
    <xf numFmtId="0" fontId="3" fillId="4" borderId="2" xfId="0" applyFont="1" applyFill="1" applyBorder="1" applyAlignment="1">
      <alignment vertical="center" wrapText="1"/>
    </xf>
    <xf numFmtId="166" fontId="3" fillId="4" borderId="2" xfId="0" applyNumberFormat="1" applyFont="1" applyFill="1" applyBorder="1"/>
    <xf numFmtId="166" fontId="3" fillId="4" borderId="2" xfId="1" applyNumberFormat="1" applyFont="1" applyFill="1" applyBorder="1" applyAlignment="1">
      <alignment vertical="center" wrapText="1"/>
    </xf>
    <xf numFmtId="165" fontId="3" fillId="4" borderId="2" xfId="1" applyNumberFormat="1" applyFont="1" applyFill="1" applyBorder="1" applyAlignment="1">
      <alignment vertical="center" wrapText="1"/>
    </xf>
    <xf numFmtId="166" fontId="3" fillId="0" borderId="0" xfId="0" applyNumberFormat="1" applyFont="1"/>
    <xf numFmtId="0" fontId="2" fillId="3" borderId="1" xfId="0" applyFont="1" applyFill="1" applyBorder="1"/>
    <xf numFmtId="0" fontId="2" fillId="3" borderId="2" xfId="0" applyFont="1" applyFill="1" applyBorder="1" applyAlignment="1">
      <alignment vertical="center" wrapText="1"/>
    </xf>
    <xf numFmtId="166" fontId="2" fillId="3" borderId="2" xfId="0" applyNumberFormat="1" applyFont="1" applyFill="1" applyBorder="1"/>
    <xf numFmtId="166" fontId="2" fillId="3" borderId="2" xfId="1" applyNumberFormat="1" applyFont="1" applyFill="1" applyBorder="1" applyAlignment="1">
      <alignment vertical="center" wrapText="1"/>
    </xf>
    <xf numFmtId="0" fontId="3" fillId="0" borderId="1" xfId="0" applyFont="1" applyBorder="1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165" fontId="2" fillId="3" borderId="1" xfId="1" applyNumberFormat="1" applyFont="1" applyFill="1" applyBorder="1" applyAlignment="1">
      <alignment vertical="center" wrapText="1"/>
    </xf>
    <xf numFmtId="165" fontId="2" fillId="3" borderId="1" xfId="0" applyNumberFormat="1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165" fontId="3" fillId="4" borderId="2" xfId="1" applyNumberFormat="1" applyFont="1" applyFill="1" applyBorder="1" applyAlignment="1">
      <alignment horizontal="right" vertical="center" wrapText="1"/>
    </xf>
    <xf numFmtId="166" fontId="3" fillId="4" borderId="2" xfId="1" applyNumberFormat="1" applyFont="1" applyFill="1" applyBorder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 wrapText="1"/>
    </xf>
    <xf numFmtId="43" fontId="3" fillId="0" borderId="2" xfId="1" applyFont="1" applyBorder="1" applyAlignment="1">
      <alignment vertical="center"/>
    </xf>
    <xf numFmtId="165" fontId="3" fillId="0" borderId="2" xfId="1" applyNumberFormat="1" applyFont="1" applyBorder="1" applyAlignment="1">
      <alignment vertical="center"/>
    </xf>
    <xf numFmtId="43" fontId="3" fillId="0" borderId="0" xfId="0" applyNumberFormat="1" applyFont="1"/>
    <xf numFmtId="165" fontId="8" fillId="3" borderId="2" xfId="0" applyNumberFormat="1" applyFont="1" applyFill="1" applyBorder="1" applyAlignment="1">
      <alignment vertical="center" wrapText="1"/>
    </xf>
    <xf numFmtId="165" fontId="2" fillId="3" borderId="2" xfId="0" applyNumberFormat="1" applyFont="1" applyFill="1" applyBorder="1" applyAlignment="1">
      <alignment vertical="center" wrapText="1"/>
    </xf>
    <xf numFmtId="9" fontId="3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65" fontId="2" fillId="3" borderId="0" xfId="1" applyNumberFormat="1" applyFont="1" applyFill="1"/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9" fillId="2" borderId="2" xfId="0" applyFont="1" applyFill="1" applyBorder="1" applyAlignment="1">
      <alignment vertical="center" wrapText="1"/>
    </xf>
    <xf numFmtId="0" fontId="9" fillId="2" borderId="2" xfId="0" applyFont="1" applyFill="1" applyBorder="1" applyAlignment="1">
      <alignment horizontal="centerContinuous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/>
    <xf numFmtId="165" fontId="10" fillId="0" borderId="2" xfId="1" applyNumberFormat="1" applyFont="1" applyBorder="1"/>
    <xf numFmtId="165" fontId="7" fillId="0" borderId="2" xfId="1" applyNumberFormat="1" applyFont="1" applyBorder="1"/>
    <xf numFmtId="0" fontId="10" fillId="0" borderId="2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165" fontId="7" fillId="0" borderId="0" xfId="1" applyNumberFormat="1" applyFont="1" applyBorder="1"/>
    <xf numFmtId="164" fontId="10" fillId="0" borderId="0" xfId="2" applyNumberFormat="1" applyFont="1"/>
    <xf numFmtId="0" fontId="12" fillId="0" borderId="0" xfId="0" applyFont="1" applyAlignment="1">
      <alignment wrapText="1"/>
    </xf>
    <xf numFmtId="0" fontId="13" fillId="3" borderId="2" xfId="0" applyFont="1" applyFill="1" applyBorder="1" applyAlignment="1">
      <alignment horizontal="center" vertical="center" wrapText="1"/>
    </xf>
    <xf numFmtId="0" fontId="13" fillId="3" borderId="2" xfId="0" applyFont="1" applyFill="1" applyBorder="1" applyAlignment="1">
      <alignment horizontal="center" wrapText="1"/>
    </xf>
    <xf numFmtId="165" fontId="13" fillId="3" borderId="2" xfId="1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0" fontId="14" fillId="0" borderId="2" xfId="0" applyFont="1" applyBorder="1" applyAlignment="1">
      <alignment horizontal="center" wrapText="1"/>
    </xf>
    <xf numFmtId="0" fontId="14" fillId="4" borderId="2" xfId="0" applyFont="1" applyFill="1" applyBorder="1" applyAlignment="1">
      <alignment horizontal="center" wrapText="1"/>
    </xf>
    <xf numFmtId="166" fontId="14" fillId="4" borderId="2" xfId="0" applyNumberFormat="1" applyFont="1" applyFill="1" applyBorder="1" applyAlignment="1">
      <alignment horizontal="center" wrapText="1"/>
    </xf>
    <xf numFmtId="166" fontId="14" fillId="4" borderId="2" xfId="1" applyNumberFormat="1" applyFont="1" applyFill="1" applyBorder="1" applyAlignment="1">
      <alignment horizontal="center" vertical="center" wrapText="1"/>
    </xf>
    <xf numFmtId="165" fontId="14" fillId="4" borderId="2" xfId="1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wrapText="1"/>
    </xf>
    <xf numFmtId="166" fontId="13" fillId="3" borderId="2" xfId="0" applyNumberFormat="1" applyFont="1" applyFill="1" applyBorder="1" applyAlignment="1">
      <alignment horizontal="center" wrapText="1"/>
    </xf>
    <xf numFmtId="166" fontId="13" fillId="3" borderId="2" xfId="1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wrapText="1"/>
    </xf>
    <xf numFmtId="0" fontId="14" fillId="0" borderId="1" xfId="0" applyFont="1" applyBorder="1" applyAlignment="1">
      <alignment horizontal="center" wrapText="1"/>
    </xf>
    <xf numFmtId="0" fontId="13" fillId="3" borderId="1" xfId="0" applyFont="1" applyFill="1" applyBorder="1" applyAlignment="1">
      <alignment horizontal="center" vertical="center" wrapText="1"/>
    </xf>
    <xf numFmtId="165" fontId="13" fillId="3" borderId="1" xfId="1" applyNumberFormat="1" applyFont="1" applyFill="1" applyBorder="1" applyAlignment="1">
      <alignment horizontal="center" vertical="center" wrapText="1"/>
    </xf>
    <xf numFmtId="165" fontId="13" fillId="3" borderId="1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165" fontId="13" fillId="3" borderId="2" xfId="0" applyNumberFormat="1" applyFont="1" applyFill="1" applyBorder="1" applyAlignment="1">
      <alignment horizontal="center" vertical="center" wrapText="1"/>
    </xf>
    <xf numFmtId="9" fontId="10" fillId="0" borderId="0" xfId="0" applyNumberFormat="1" applyFont="1"/>
    <xf numFmtId="0" fontId="7" fillId="3" borderId="0" xfId="0" applyFont="1" applyFill="1"/>
    <xf numFmtId="165" fontId="7" fillId="3" borderId="0" xfId="1" applyNumberFormat="1" applyFont="1" applyFill="1"/>
    <xf numFmtId="165" fontId="13" fillId="3" borderId="13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65" fontId="10" fillId="0" borderId="2" xfId="1" applyNumberFormat="1" applyFont="1" applyBorder="1" applyAlignment="1">
      <alignment horizontal="center" vertical="center"/>
    </xf>
    <xf numFmtId="0" fontId="15" fillId="2" borderId="0" xfId="0" applyFont="1" applyFill="1" applyAlignment="1">
      <alignment horizontal="left" vertical="center" wrapText="1"/>
    </xf>
    <xf numFmtId="0" fontId="16" fillId="0" borderId="0" xfId="0" applyFont="1"/>
    <xf numFmtId="0" fontId="15" fillId="2" borderId="2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vertical="center" wrapText="1"/>
    </xf>
    <xf numFmtId="164" fontId="15" fillId="2" borderId="2" xfId="2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vertical="center" wrapText="1"/>
    </xf>
    <xf numFmtId="3" fontId="16" fillId="0" borderId="2" xfId="0" applyNumberFormat="1" applyFont="1" applyBorder="1" applyAlignment="1">
      <alignment horizontal="right" vertical="center" wrapText="1"/>
    </xf>
    <xf numFmtId="164" fontId="16" fillId="0" borderId="2" xfId="2" applyNumberFormat="1" applyFont="1" applyBorder="1" applyAlignment="1">
      <alignment horizontal="center" vertical="center" wrapText="1"/>
    </xf>
    <xf numFmtId="165" fontId="16" fillId="0" borderId="2" xfId="1" applyNumberFormat="1" applyFont="1" applyFill="1" applyBorder="1" applyAlignment="1">
      <alignment horizontal="center" vertical="center" wrapText="1"/>
    </xf>
    <xf numFmtId="165" fontId="16" fillId="6" borderId="2" xfId="1" applyNumberFormat="1" applyFont="1" applyFill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center" vertical="center" wrapText="1"/>
    </xf>
    <xf numFmtId="165" fontId="16" fillId="0" borderId="2" xfId="1" applyNumberFormat="1" applyFont="1" applyBorder="1" applyAlignment="1">
      <alignment horizontal="left" vertical="center"/>
    </xf>
    <xf numFmtId="9" fontId="16" fillId="0" borderId="2" xfId="2" applyFont="1" applyBorder="1" applyAlignment="1">
      <alignment horizontal="center" vertical="center" wrapText="1"/>
    </xf>
    <xf numFmtId="9" fontId="16" fillId="0" borderId="2" xfId="2" applyFont="1" applyBorder="1" applyAlignment="1">
      <alignment horizontal="center"/>
    </xf>
    <xf numFmtId="165" fontId="16" fillId="0" borderId="0" xfId="0" applyNumberFormat="1" applyFont="1"/>
    <xf numFmtId="0" fontId="16" fillId="0" borderId="1" xfId="0" applyFont="1" applyBorder="1" applyAlignment="1">
      <alignment vertical="center" wrapText="1"/>
    </xf>
    <xf numFmtId="165" fontId="16" fillId="0" borderId="2" xfId="1" applyNumberFormat="1" applyFont="1" applyFill="1" applyBorder="1" applyAlignment="1">
      <alignment horizontal="left" vertical="center"/>
    </xf>
    <xf numFmtId="9" fontId="16" fillId="0" borderId="2" xfId="2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3" fontId="16" fillId="0" borderId="0" xfId="0" applyNumberFormat="1" applyFont="1" applyAlignment="1">
      <alignment horizontal="right" vertical="center" wrapText="1"/>
    </xf>
    <xf numFmtId="164" fontId="16" fillId="0" borderId="0" xfId="2" applyNumberFormat="1" applyFont="1" applyBorder="1" applyAlignment="1">
      <alignment horizontal="center" vertical="center" wrapText="1"/>
    </xf>
    <xf numFmtId="165" fontId="16" fillId="0" borderId="0" xfId="1" applyNumberFormat="1" applyFont="1" applyFill="1" applyBorder="1" applyAlignment="1">
      <alignment horizontal="center" vertical="center" wrapText="1"/>
    </xf>
    <xf numFmtId="165" fontId="16" fillId="6" borderId="0" xfId="1" applyNumberFormat="1" applyFont="1" applyFill="1" applyBorder="1" applyAlignment="1">
      <alignment horizontal="center" vertical="center" wrapText="1"/>
    </xf>
    <xf numFmtId="165" fontId="16" fillId="0" borderId="0" xfId="1" applyNumberFormat="1" applyFont="1" applyBorder="1" applyAlignment="1">
      <alignment horizontal="center" vertical="center" wrapText="1"/>
    </xf>
    <xf numFmtId="165" fontId="16" fillId="0" borderId="0" xfId="1" applyNumberFormat="1" applyFont="1" applyBorder="1" applyAlignment="1">
      <alignment horizontal="left" vertical="center"/>
    </xf>
    <xf numFmtId="9" fontId="16" fillId="0" borderId="0" xfId="2" applyFont="1" applyBorder="1" applyAlignment="1">
      <alignment horizontal="center" vertical="center" wrapText="1"/>
    </xf>
    <xf numFmtId="9" fontId="16" fillId="0" borderId="0" xfId="2" applyFont="1" applyBorder="1" applyAlignment="1">
      <alignment horizontal="center"/>
    </xf>
    <xf numFmtId="0" fontId="18" fillId="0" borderId="2" xfId="0" applyFont="1" applyBorder="1"/>
    <xf numFmtId="0" fontId="18" fillId="0" borderId="0" xfId="0" applyFont="1"/>
    <xf numFmtId="0" fontId="19" fillId="8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9" borderId="2" xfId="0" applyFont="1" applyFill="1" applyBorder="1" applyAlignment="1">
      <alignment horizontal="center" vertical="center" wrapText="1"/>
    </xf>
    <xf numFmtId="165" fontId="20" fillId="0" borderId="2" xfId="1" applyNumberFormat="1" applyFont="1" applyBorder="1" applyAlignment="1">
      <alignment vertical="center"/>
    </xf>
    <xf numFmtId="9" fontId="20" fillId="0" borderId="2" xfId="0" applyNumberFormat="1" applyFont="1" applyBorder="1" applyAlignment="1">
      <alignment horizontal="right" vertical="center"/>
    </xf>
    <xf numFmtId="0" fontId="20" fillId="0" borderId="0" xfId="0" applyFont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0" xfId="0" applyFont="1" applyFill="1" applyAlignment="1">
      <alignment vertical="center" wrapText="1"/>
    </xf>
    <xf numFmtId="0" fontId="20" fillId="9" borderId="0" xfId="0" applyFont="1" applyFill="1" applyAlignment="1">
      <alignment horizontal="center" vertical="center" wrapText="1"/>
    </xf>
    <xf numFmtId="165" fontId="20" fillId="0" borderId="0" xfId="1" applyNumberFormat="1" applyFont="1" applyBorder="1" applyAlignment="1">
      <alignment vertical="center"/>
    </xf>
    <xf numFmtId="9" fontId="20" fillId="0" borderId="0" xfId="0" applyNumberFormat="1" applyFont="1" applyAlignment="1">
      <alignment horizontal="right" vertical="center"/>
    </xf>
    <xf numFmtId="0" fontId="21" fillId="0" borderId="0" xfId="0" applyFont="1"/>
    <xf numFmtId="165" fontId="21" fillId="0" borderId="0" xfId="0" applyNumberFormat="1" applyFont="1"/>
    <xf numFmtId="0" fontId="10" fillId="0" borderId="2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10" fillId="0" borderId="4" xfId="0" applyFont="1" applyBorder="1" applyAlignment="1">
      <alignment vertical="center" wrapText="1"/>
    </xf>
    <xf numFmtId="0" fontId="10" fillId="0" borderId="14" xfId="0" applyFont="1" applyBorder="1" applyAlignment="1">
      <alignment vertical="center" wrapText="1"/>
    </xf>
    <xf numFmtId="0" fontId="10" fillId="0" borderId="0" xfId="0" applyFont="1" applyAlignment="1">
      <alignment vertical="center"/>
    </xf>
    <xf numFmtId="165" fontId="10" fillId="0" borderId="2" xfId="1" applyNumberFormat="1" applyFont="1" applyBorder="1" applyAlignment="1">
      <alignment horizontal="center" vertical="center" wrapText="1"/>
    </xf>
    <xf numFmtId="165" fontId="10" fillId="0" borderId="2" xfId="0" applyNumberFormat="1" applyFont="1" applyBorder="1"/>
    <xf numFmtId="165" fontId="10" fillId="0" borderId="2" xfId="0" applyNumberFormat="1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vertical="center" wrapText="1"/>
    </xf>
    <xf numFmtId="0" fontId="10" fillId="0" borderId="2" xfId="0" quotePrefix="1" applyFont="1" applyBorder="1" applyAlignment="1">
      <alignment wrapText="1"/>
    </xf>
    <xf numFmtId="165" fontId="20" fillId="0" borderId="2" xfId="1" applyNumberFormat="1" applyFont="1" applyBorder="1" applyAlignment="1">
      <alignment vertical="center" wrapText="1"/>
    </xf>
    <xf numFmtId="165" fontId="24" fillId="0" borderId="2" xfId="1" applyNumberFormat="1" applyFont="1" applyBorder="1" applyAlignment="1">
      <alignment vertical="center" wrapText="1"/>
    </xf>
    <xf numFmtId="3" fontId="10" fillId="0" borderId="2" xfId="0" applyNumberFormat="1" applyFont="1" applyBorder="1" applyAlignment="1">
      <alignment vertical="center" wrapText="1"/>
    </xf>
    <xf numFmtId="3" fontId="10" fillId="0" borderId="2" xfId="0" applyNumberFormat="1" applyFont="1" applyBorder="1" applyAlignment="1">
      <alignment horizontal="center" vertical="center" wrapText="1"/>
    </xf>
    <xf numFmtId="165" fontId="20" fillId="0" borderId="2" xfId="1" quotePrefix="1" applyNumberFormat="1" applyFont="1" applyBorder="1" applyAlignment="1">
      <alignment vertical="center"/>
    </xf>
    <xf numFmtId="165" fontId="20" fillId="0" borderId="2" xfId="1" quotePrefix="1" applyNumberFormat="1" applyFont="1" applyBorder="1" applyAlignment="1">
      <alignment vertical="center" wrapText="1"/>
    </xf>
    <xf numFmtId="9" fontId="20" fillId="0" borderId="2" xfId="0" quotePrefix="1" applyNumberFormat="1" applyFont="1" applyBorder="1" applyAlignment="1">
      <alignment horizontal="right" vertical="center"/>
    </xf>
    <xf numFmtId="0" fontId="25" fillId="0" borderId="0" xfId="0" quotePrefix="1" applyFont="1" applyAlignment="1">
      <alignment wrapText="1"/>
    </xf>
    <xf numFmtId="165" fontId="10" fillId="0" borderId="2" xfId="1" quotePrefix="1" applyNumberFormat="1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165" fontId="10" fillId="0" borderId="2" xfId="1" applyNumberFormat="1" applyFont="1" applyBorder="1" applyAlignment="1">
      <alignment horizontal="left" vertical="center" wrapText="1"/>
    </xf>
    <xf numFmtId="0" fontId="18" fillId="0" borderId="2" xfId="0" applyFont="1" applyBorder="1" applyAlignment="1">
      <alignment wrapText="1"/>
    </xf>
    <xf numFmtId="0" fontId="23" fillId="0" borderId="5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3" xfId="0" applyFont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5" fillId="2" borderId="2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 vertical="center" wrapText="1"/>
    </xf>
    <xf numFmtId="0" fontId="15" fillId="2" borderId="8" xfId="0" applyFont="1" applyFill="1" applyBorder="1" applyAlignment="1">
      <alignment horizontal="center" vertical="center" wrapText="1"/>
    </xf>
    <xf numFmtId="0" fontId="15" fillId="2" borderId="9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center" vertical="center" wrapText="1"/>
    </xf>
    <xf numFmtId="0" fontId="15" fillId="2" borderId="15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6" fillId="0" borderId="3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3" fillId="3" borderId="2" xfId="0" applyFont="1" applyFill="1" applyBorder="1" applyAlignment="1">
      <alignment horizontal="center" wrapText="1"/>
    </xf>
    <xf numFmtId="0" fontId="2" fillId="3" borderId="11" xfId="0" applyFont="1" applyFill="1" applyBorder="1" applyAlignment="1">
      <alignment horizontal="left" vertical="center"/>
    </xf>
    <xf numFmtId="0" fontId="2" fillId="3" borderId="12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1" fillId="0" borderId="6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left" vertical="center" wrapText="1" indent="2"/>
    </xf>
    <xf numFmtId="165" fontId="13" fillId="5" borderId="2" xfId="1" applyNumberFormat="1" applyFont="1" applyFill="1" applyBorder="1" applyAlignment="1">
      <alignment horizontal="center" vertical="center" wrapText="1"/>
    </xf>
    <xf numFmtId="165" fontId="14" fillId="5" borderId="2" xfId="1" applyNumberFormat="1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4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6" fillId="0" borderId="2" xfId="0" applyFont="1" applyBorder="1" applyAlignment="1">
      <alignment vertical="center" wrapText="1"/>
    </xf>
    <xf numFmtId="165" fontId="2" fillId="5" borderId="2" xfId="1" applyNumberFormat="1" applyFont="1" applyFill="1" applyBorder="1" applyAlignment="1">
      <alignment horizontal="center" vertical="center" wrapText="1"/>
    </xf>
    <xf numFmtId="165" fontId="3" fillId="5" borderId="2" xfId="1" applyNumberFormat="1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" fillId="3" borderId="2" xfId="0" applyFont="1" applyFill="1" applyBorder="1" applyAlignme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DDBFE-3B4C-4DB3-B120-7B496220D45B}">
  <sheetPr>
    <tabColor rgb="FFFFFF00"/>
    <pageSetUpPr fitToPage="1"/>
  </sheetPr>
  <dimension ref="A1:T138"/>
  <sheetViews>
    <sheetView zoomScale="85" zoomScaleNormal="85" workbookViewId="0">
      <selection activeCell="D13" sqref="D13"/>
    </sheetView>
  </sheetViews>
  <sheetFormatPr defaultColWidth="8.85546875" defaultRowHeight="13.9" outlineLevelCol="1"/>
  <cols>
    <col min="1" max="1" width="11.85546875" style="46" customWidth="1"/>
    <col min="2" max="2" width="30.7109375" style="46" customWidth="1"/>
    <col min="3" max="3" width="8.85546875" style="46"/>
    <col min="4" max="4" width="34.42578125" style="46" customWidth="1"/>
    <col min="5" max="5" width="16.140625" style="46" customWidth="1"/>
    <col min="6" max="8" width="16" style="46" customWidth="1" outlineLevel="1"/>
    <col min="9" max="9" width="16" style="57" customWidth="1"/>
    <col min="10" max="12" width="16" style="46" customWidth="1"/>
    <col min="13" max="13" width="25.140625" style="46" customWidth="1"/>
    <col min="14" max="14" width="8.85546875" style="46"/>
    <col min="15" max="15" width="15.140625" style="46" customWidth="1"/>
    <col min="16" max="18" width="8.85546875" style="46"/>
    <col min="19" max="19" width="9.5703125" style="46" bestFit="1" customWidth="1"/>
    <col min="20" max="16384" width="8.85546875" style="46"/>
  </cols>
  <sheetData>
    <row r="1" spans="1:20" ht="17.45">
      <c r="A1" s="215" t="s">
        <v>0</v>
      </c>
      <c r="B1" s="215"/>
    </row>
    <row r="4" spans="1:20">
      <c r="A4" s="187" t="s">
        <v>1</v>
      </c>
      <c r="B4" s="187" t="s">
        <v>2</v>
      </c>
      <c r="C4" s="158" t="s">
        <v>3</v>
      </c>
      <c r="D4" s="187" t="s">
        <v>4</v>
      </c>
      <c r="E4" s="187" t="s">
        <v>5</v>
      </c>
      <c r="F4" s="189" t="s">
        <v>6</v>
      </c>
      <c r="G4" s="189"/>
      <c r="H4" s="189"/>
      <c r="I4" s="158" t="s">
        <v>7</v>
      </c>
      <c r="J4" s="158"/>
      <c r="K4" s="158"/>
      <c r="L4" s="158"/>
      <c r="M4" s="84"/>
      <c r="N4" s="159" t="s">
        <v>8</v>
      </c>
      <c r="O4" s="160"/>
      <c r="P4" s="160"/>
      <c r="Q4" s="160"/>
      <c r="R4" s="161"/>
      <c r="S4" s="85"/>
      <c r="T4" s="85"/>
    </row>
    <row r="5" spans="1:20">
      <c r="A5" s="188"/>
      <c r="B5" s="188"/>
      <c r="C5" s="158"/>
      <c r="D5" s="188"/>
      <c r="E5" s="188"/>
      <c r="F5" s="189"/>
      <c r="G5" s="189"/>
      <c r="H5" s="189"/>
      <c r="I5" s="158"/>
      <c r="J5" s="158"/>
      <c r="K5" s="158"/>
      <c r="L5" s="158"/>
      <c r="M5" s="84" t="s">
        <v>9</v>
      </c>
      <c r="N5" s="162"/>
      <c r="O5" s="163"/>
      <c r="P5" s="163"/>
      <c r="Q5" s="164"/>
      <c r="R5" s="165"/>
      <c r="S5" s="85"/>
      <c r="T5" s="85"/>
    </row>
    <row r="6" spans="1:20" ht="60">
      <c r="A6" s="188"/>
      <c r="B6" s="188"/>
      <c r="C6" s="158"/>
      <c r="D6" s="188"/>
      <c r="E6" s="188"/>
      <c r="F6" s="86" t="s">
        <v>10</v>
      </c>
      <c r="G6" s="87" t="s">
        <v>11</v>
      </c>
      <c r="H6" s="87" t="s">
        <v>12</v>
      </c>
      <c r="I6" s="88" t="s">
        <v>13</v>
      </c>
      <c r="J6" s="86" t="s">
        <v>10</v>
      </c>
      <c r="K6" s="86" t="s">
        <v>14</v>
      </c>
      <c r="L6" s="86" t="s">
        <v>12</v>
      </c>
      <c r="M6" s="84"/>
      <c r="N6" s="86" t="s">
        <v>10</v>
      </c>
      <c r="O6" s="86" t="s">
        <v>14</v>
      </c>
      <c r="P6" s="86" t="s">
        <v>12</v>
      </c>
      <c r="Q6" s="86" t="s">
        <v>15</v>
      </c>
      <c r="R6" s="86" t="s">
        <v>16</v>
      </c>
      <c r="S6" s="85"/>
      <c r="T6" s="85"/>
    </row>
    <row r="7" spans="1:20">
      <c r="A7" s="166">
        <v>1</v>
      </c>
      <c r="B7" s="166" t="s">
        <v>17</v>
      </c>
      <c r="C7" s="166" t="s">
        <v>18</v>
      </c>
      <c r="D7" s="89" t="s">
        <v>19</v>
      </c>
      <c r="E7" s="89" t="s">
        <v>20</v>
      </c>
      <c r="F7" s="90">
        <v>3873</v>
      </c>
      <c r="G7" s="89">
        <v>0</v>
      </c>
      <c r="H7" s="90">
        <f t="shared" ref="H7" si="0">+F7+G7</f>
        <v>3873</v>
      </c>
      <c r="I7" s="91">
        <v>4.8000000000000001E-2</v>
      </c>
      <c r="J7" s="92">
        <f>+ROUND(F7*I7,0)+F7</f>
        <v>4059</v>
      </c>
      <c r="K7" s="93">
        <f t="shared" ref="K7:K29" si="1">+ROUND(G7*I7,0)+G7</f>
        <v>0</v>
      </c>
      <c r="L7" s="94">
        <f t="shared" ref="L7:L29" si="2">+J7+K7</f>
        <v>4059</v>
      </c>
      <c r="M7" s="95" t="s">
        <v>21</v>
      </c>
      <c r="N7" s="93">
        <v>3690</v>
      </c>
      <c r="O7" s="93">
        <f>+ROUND(N7*0.1,0)</f>
        <v>369</v>
      </c>
      <c r="P7" s="93">
        <f>+O7+N7</f>
        <v>4059</v>
      </c>
      <c r="Q7" s="96">
        <v>0.08</v>
      </c>
      <c r="R7" s="97">
        <v>0.1</v>
      </c>
      <c r="S7" s="85">
        <f>ROUND(N7*0.1,0)</f>
        <v>369</v>
      </c>
      <c r="T7" s="98">
        <f>+S7-O7</f>
        <v>0</v>
      </c>
    </row>
    <row r="8" spans="1:20">
      <c r="A8" s="167"/>
      <c r="B8" s="167"/>
      <c r="C8" s="167"/>
      <c r="D8" s="99" t="s">
        <v>22</v>
      </c>
      <c r="E8" s="89" t="s">
        <v>20</v>
      </c>
      <c r="F8" s="90"/>
      <c r="G8" s="89"/>
      <c r="H8" s="90"/>
      <c r="I8" s="91"/>
      <c r="J8" s="92">
        <v>101508</v>
      </c>
      <c r="K8" s="93"/>
      <c r="L8" s="94">
        <f t="shared" si="2"/>
        <v>101508</v>
      </c>
      <c r="M8" s="95"/>
      <c r="N8" s="93">
        <f>101508/(1.1)</f>
        <v>92279.999999999985</v>
      </c>
      <c r="O8" s="93">
        <f>+ROUND(N8*0.1,0)</f>
        <v>9228</v>
      </c>
      <c r="P8" s="93">
        <f>+O8+N8</f>
        <v>101507.99999999999</v>
      </c>
      <c r="Q8" s="96">
        <v>0.08</v>
      </c>
      <c r="R8" s="97">
        <v>0.1</v>
      </c>
      <c r="S8" s="85">
        <f t="shared" ref="S8:S29" si="3">ROUND(N8*0.1,0)</f>
        <v>9228</v>
      </c>
      <c r="T8" s="98">
        <f t="shared" ref="T8:T29" si="4">+S8-O8</f>
        <v>0</v>
      </c>
    </row>
    <row r="9" spans="1:20">
      <c r="A9" s="168"/>
      <c r="B9" s="168"/>
      <c r="C9" s="168"/>
      <c r="D9" s="99" t="s">
        <v>23</v>
      </c>
      <c r="E9" s="89" t="s">
        <v>20</v>
      </c>
      <c r="F9" s="90"/>
      <c r="G9" s="89"/>
      <c r="H9" s="90"/>
      <c r="I9" s="91"/>
      <c r="J9" s="92">
        <v>50000</v>
      </c>
      <c r="K9" s="92"/>
      <c r="L9" s="92">
        <v>50000</v>
      </c>
      <c r="M9" s="100"/>
      <c r="N9" s="92">
        <v>50000</v>
      </c>
      <c r="O9" s="92"/>
      <c r="P9" s="92">
        <f>+O9+N9</f>
        <v>50000</v>
      </c>
      <c r="Q9" s="101"/>
      <c r="R9" s="97">
        <v>0.1</v>
      </c>
      <c r="S9" s="85"/>
      <c r="T9" s="98">
        <f t="shared" si="4"/>
        <v>0</v>
      </c>
    </row>
    <row r="10" spans="1:20">
      <c r="A10" s="166">
        <v>2</v>
      </c>
      <c r="B10" s="166" t="s">
        <v>24</v>
      </c>
      <c r="C10" s="166" t="s">
        <v>18</v>
      </c>
      <c r="D10" s="169" t="s">
        <v>19</v>
      </c>
      <c r="E10" s="89" t="s">
        <v>25</v>
      </c>
      <c r="F10" s="90">
        <v>1830</v>
      </c>
      <c r="G10" s="102">
        <v>183</v>
      </c>
      <c r="H10" s="90">
        <f t="shared" ref="H10:H29" si="5">+F10+G10</f>
        <v>2013</v>
      </c>
      <c r="I10" s="91">
        <f>104.808743169399%-1</f>
        <v>4.8087431693989879E-2</v>
      </c>
      <c r="J10" s="92">
        <v>1918</v>
      </c>
      <c r="K10" s="94">
        <f>+ROUND(J10*0.1,0)</f>
        <v>192</v>
      </c>
      <c r="L10" s="94">
        <f t="shared" si="2"/>
        <v>2110</v>
      </c>
      <c r="M10" s="95" t="s">
        <v>26</v>
      </c>
      <c r="N10" s="92">
        <v>1918</v>
      </c>
      <c r="O10" s="92">
        <v>192</v>
      </c>
      <c r="P10" s="94">
        <v>2110</v>
      </c>
      <c r="Q10" s="96">
        <v>0.08</v>
      </c>
      <c r="R10" s="97">
        <v>0.1</v>
      </c>
      <c r="S10" s="85">
        <f t="shared" si="3"/>
        <v>192</v>
      </c>
      <c r="T10" s="98">
        <f t="shared" si="4"/>
        <v>0</v>
      </c>
    </row>
    <row r="11" spans="1:20">
      <c r="A11" s="167"/>
      <c r="B11" s="167"/>
      <c r="C11" s="167"/>
      <c r="D11" s="170"/>
      <c r="E11" s="89" t="s">
        <v>27</v>
      </c>
      <c r="F11" s="90">
        <v>3007</v>
      </c>
      <c r="G11" s="102">
        <v>301</v>
      </c>
      <c r="H11" s="90">
        <f t="shared" si="5"/>
        <v>3308</v>
      </c>
      <c r="I11" s="91">
        <f>104.822081809112%-1</f>
        <v>4.822081809112011E-2</v>
      </c>
      <c r="J11" s="92">
        <v>3152</v>
      </c>
      <c r="K11" s="92">
        <f>+ROUND(J11*0.1,0)+1</f>
        <v>316</v>
      </c>
      <c r="L11" s="94">
        <f t="shared" si="2"/>
        <v>3468</v>
      </c>
      <c r="M11" s="95" t="s">
        <v>26</v>
      </c>
      <c r="N11" s="92">
        <v>3152</v>
      </c>
      <c r="O11" s="92">
        <v>316</v>
      </c>
      <c r="P11" s="94">
        <v>3468</v>
      </c>
      <c r="Q11" s="96">
        <v>0.08</v>
      </c>
      <c r="R11" s="97">
        <v>0.1</v>
      </c>
      <c r="S11" s="85">
        <f>ROUND(N11*0.1,0)</f>
        <v>315</v>
      </c>
      <c r="T11" s="98">
        <f t="shared" si="4"/>
        <v>-1</v>
      </c>
    </row>
    <row r="12" spans="1:20">
      <c r="A12" s="167"/>
      <c r="B12" s="167"/>
      <c r="C12" s="167"/>
      <c r="D12" s="171"/>
      <c r="E12" s="89" t="s">
        <v>28</v>
      </c>
      <c r="F12" s="90">
        <v>5174</v>
      </c>
      <c r="G12" s="102">
        <v>517</v>
      </c>
      <c r="H12" s="90">
        <f t="shared" si="5"/>
        <v>5691</v>
      </c>
      <c r="I12" s="91">
        <f>104.793196752996%-1</f>
        <v>4.7931967529959874E-2</v>
      </c>
      <c r="J12" s="92">
        <v>5422</v>
      </c>
      <c r="K12" s="92">
        <f t="shared" ref="K12" si="6">+ROUND(J12*0.1,0)</f>
        <v>542</v>
      </c>
      <c r="L12" s="94">
        <f t="shared" si="2"/>
        <v>5964</v>
      </c>
      <c r="M12" s="95" t="s">
        <v>26</v>
      </c>
      <c r="N12" s="92">
        <v>5422</v>
      </c>
      <c r="O12" s="92">
        <v>542</v>
      </c>
      <c r="P12" s="94">
        <v>5964</v>
      </c>
      <c r="Q12" s="96">
        <v>0.08</v>
      </c>
      <c r="R12" s="97">
        <v>0.1</v>
      </c>
      <c r="S12" s="85">
        <f t="shared" si="3"/>
        <v>542</v>
      </c>
      <c r="T12" s="98">
        <f t="shared" si="4"/>
        <v>0</v>
      </c>
    </row>
    <row r="13" spans="1:20">
      <c r="A13" s="167"/>
      <c r="B13" s="167"/>
      <c r="C13" s="167"/>
      <c r="D13" s="89" t="s">
        <v>29</v>
      </c>
      <c r="E13" s="89" t="s">
        <v>20</v>
      </c>
      <c r="F13" s="90">
        <v>2197</v>
      </c>
      <c r="G13" s="89">
        <v>0</v>
      </c>
      <c r="H13" s="90">
        <f t="shared" si="5"/>
        <v>2197</v>
      </c>
      <c r="I13" s="91">
        <v>4.8000000000000001E-2</v>
      </c>
      <c r="J13" s="92">
        <f t="shared" ref="J13:J29" si="7">+ROUND(F13*I13,0)+F13</f>
        <v>2302</v>
      </c>
      <c r="K13" s="93">
        <f t="shared" si="1"/>
        <v>0</v>
      </c>
      <c r="L13" s="94">
        <f t="shared" si="2"/>
        <v>2302</v>
      </c>
      <c r="M13" s="95" t="s">
        <v>21</v>
      </c>
      <c r="N13" s="93">
        <v>2093</v>
      </c>
      <c r="O13" s="93">
        <f>+ROUND(N13*0.1,0)</f>
        <v>209</v>
      </c>
      <c r="P13" s="93">
        <f>+O13+N13</f>
        <v>2302</v>
      </c>
      <c r="Q13" s="96">
        <v>0.08</v>
      </c>
      <c r="R13" s="97">
        <v>0.1</v>
      </c>
      <c r="S13" s="85">
        <f t="shared" si="3"/>
        <v>209</v>
      </c>
      <c r="T13" s="98">
        <f t="shared" si="4"/>
        <v>0</v>
      </c>
    </row>
    <row r="14" spans="1:20" ht="22.9">
      <c r="A14" s="168"/>
      <c r="B14" s="168"/>
      <c r="C14" s="168"/>
      <c r="D14" s="89" t="s">
        <v>30</v>
      </c>
      <c r="E14" s="89" t="s">
        <v>20</v>
      </c>
      <c r="F14" s="90">
        <v>3873</v>
      </c>
      <c r="G14" s="89">
        <v>0</v>
      </c>
      <c r="H14" s="90">
        <f t="shared" si="5"/>
        <v>3873</v>
      </c>
      <c r="I14" s="91">
        <v>4.8000000000000001E-2</v>
      </c>
      <c r="J14" s="92">
        <f t="shared" si="7"/>
        <v>4059</v>
      </c>
      <c r="K14" s="93">
        <f t="shared" si="1"/>
        <v>0</v>
      </c>
      <c r="L14" s="94">
        <f t="shared" si="2"/>
        <v>4059</v>
      </c>
      <c r="M14" s="95" t="s">
        <v>21</v>
      </c>
      <c r="N14" s="93">
        <v>3690</v>
      </c>
      <c r="O14" s="93">
        <f>+ROUND(N14*0.1,0)</f>
        <v>369</v>
      </c>
      <c r="P14" s="93">
        <f>+O14+N14</f>
        <v>4059</v>
      </c>
      <c r="Q14" s="96">
        <v>0.08</v>
      </c>
      <c r="R14" s="97">
        <v>0.1</v>
      </c>
      <c r="S14" s="85">
        <f t="shared" si="3"/>
        <v>369</v>
      </c>
      <c r="T14" s="98">
        <f t="shared" si="4"/>
        <v>0</v>
      </c>
    </row>
    <row r="15" spans="1:20">
      <c r="A15" s="166">
        <v>3</v>
      </c>
      <c r="B15" s="166" t="s">
        <v>31</v>
      </c>
      <c r="C15" s="166" t="s">
        <v>18</v>
      </c>
      <c r="D15" s="169" t="s">
        <v>19</v>
      </c>
      <c r="E15" s="89" t="s">
        <v>25</v>
      </c>
      <c r="F15" s="90">
        <v>1830</v>
      </c>
      <c r="G15" s="102">
        <v>183</v>
      </c>
      <c r="H15" s="90">
        <f t="shared" si="5"/>
        <v>2013</v>
      </c>
      <c r="I15" s="91">
        <f>104.808743169399%-1</f>
        <v>4.8087431693989879E-2</v>
      </c>
      <c r="J15" s="92">
        <v>1918</v>
      </c>
      <c r="K15" s="92">
        <f>+ROUND(J15*0.1,0)</f>
        <v>192</v>
      </c>
      <c r="L15" s="92">
        <f t="shared" si="2"/>
        <v>2110</v>
      </c>
      <c r="M15" s="100" t="s">
        <v>26</v>
      </c>
      <c r="N15" s="92">
        <v>1918</v>
      </c>
      <c r="O15" s="92">
        <v>192</v>
      </c>
      <c r="P15" s="94">
        <v>2110</v>
      </c>
      <c r="Q15" s="96">
        <v>0.08</v>
      </c>
      <c r="R15" s="97">
        <v>0.1</v>
      </c>
      <c r="S15" s="85">
        <f t="shared" si="3"/>
        <v>192</v>
      </c>
      <c r="T15" s="98">
        <f t="shared" si="4"/>
        <v>0</v>
      </c>
    </row>
    <row r="16" spans="1:20">
      <c r="A16" s="167"/>
      <c r="B16" s="167"/>
      <c r="C16" s="167"/>
      <c r="D16" s="170"/>
      <c r="E16" s="89" t="s">
        <v>27</v>
      </c>
      <c r="F16" s="90">
        <v>3007</v>
      </c>
      <c r="G16" s="102">
        <v>301</v>
      </c>
      <c r="H16" s="90">
        <f t="shared" si="5"/>
        <v>3308</v>
      </c>
      <c r="I16" s="91">
        <f>104.822081809112%-1</f>
        <v>4.822081809112011E-2</v>
      </c>
      <c r="J16" s="92">
        <v>3152</v>
      </c>
      <c r="K16" s="92">
        <f>+ROUND(J16*0.1,0)+1</f>
        <v>316</v>
      </c>
      <c r="L16" s="92">
        <f t="shared" si="2"/>
        <v>3468</v>
      </c>
      <c r="M16" s="100" t="s">
        <v>26</v>
      </c>
      <c r="N16" s="92">
        <v>3152</v>
      </c>
      <c r="O16" s="92">
        <v>316</v>
      </c>
      <c r="P16" s="94">
        <v>3468</v>
      </c>
      <c r="Q16" s="96">
        <v>0.08</v>
      </c>
      <c r="R16" s="97">
        <v>0.1</v>
      </c>
      <c r="S16" s="85">
        <f t="shared" si="3"/>
        <v>315</v>
      </c>
      <c r="T16" s="98">
        <f t="shared" si="4"/>
        <v>-1</v>
      </c>
    </row>
    <row r="17" spans="1:20">
      <c r="A17" s="167"/>
      <c r="B17" s="167"/>
      <c r="C17" s="167"/>
      <c r="D17" s="171"/>
      <c r="E17" s="89" t="s">
        <v>28</v>
      </c>
      <c r="F17" s="90">
        <v>5174</v>
      </c>
      <c r="G17" s="102">
        <v>517</v>
      </c>
      <c r="H17" s="90">
        <f t="shared" si="5"/>
        <v>5691</v>
      </c>
      <c r="I17" s="91">
        <f>104.793196752996%-1</f>
        <v>4.7931967529959874E-2</v>
      </c>
      <c r="J17" s="92">
        <v>5422</v>
      </c>
      <c r="K17" s="92">
        <f t="shared" ref="K17" si="8">+ROUND(J17*0.1,0)</f>
        <v>542</v>
      </c>
      <c r="L17" s="92">
        <f t="shared" si="2"/>
        <v>5964</v>
      </c>
      <c r="M17" s="100" t="s">
        <v>26</v>
      </c>
      <c r="N17" s="92">
        <v>5422</v>
      </c>
      <c r="O17" s="92">
        <v>542</v>
      </c>
      <c r="P17" s="94">
        <v>5964</v>
      </c>
      <c r="Q17" s="96">
        <v>0.08</v>
      </c>
      <c r="R17" s="97">
        <v>0.1</v>
      </c>
      <c r="S17" s="85">
        <f t="shared" si="3"/>
        <v>542</v>
      </c>
      <c r="T17" s="98">
        <f t="shared" si="4"/>
        <v>0</v>
      </c>
    </row>
    <row r="18" spans="1:20">
      <c r="A18" s="167"/>
      <c r="B18" s="167"/>
      <c r="C18" s="167"/>
      <c r="D18" s="89" t="s">
        <v>29</v>
      </c>
      <c r="E18" s="89" t="s">
        <v>20</v>
      </c>
      <c r="F18" s="90">
        <v>2197</v>
      </c>
      <c r="G18" s="89">
        <v>0</v>
      </c>
      <c r="H18" s="90">
        <f t="shared" si="5"/>
        <v>2197</v>
      </c>
      <c r="I18" s="91">
        <v>4.8000000000000001E-2</v>
      </c>
      <c r="J18" s="92">
        <f t="shared" si="7"/>
        <v>2302</v>
      </c>
      <c r="K18" s="93">
        <f t="shared" si="1"/>
        <v>0</v>
      </c>
      <c r="L18" s="94">
        <f t="shared" si="2"/>
        <v>2302</v>
      </c>
      <c r="M18" s="95" t="s">
        <v>21</v>
      </c>
      <c r="N18" s="93">
        <v>2093</v>
      </c>
      <c r="O18" s="93">
        <f>+ROUND(N18*0.1,0)</f>
        <v>209</v>
      </c>
      <c r="P18" s="93">
        <f>+O18+N18</f>
        <v>2302</v>
      </c>
      <c r="Q18" s="96">
        <v>0.08</v>
      </c>
      <c r="R18" s="97">
        <v>0.1</v>
      </c>
      <c r="S18" s="85">
        <f t="shared" si="3"/>
        <v>209</v>
      </c>
      <c r="T18" s="98">
        <f t="shared" si="4"/>
        <v>0</v>
      </c>
    </row>
    <row r="19" spans="1:20" ht="22.9">
      <c r="A19" s="168"/>
      <c r="B19" s="168"/>
      <c r="C19" s="168"/>
      <c r="D19" s="89" t="s">
        <v>30</v>
      </c>
      <c r="E19" s="89" t="s">
        <v>20</v>
      </c>
      <c r="F19" s="90">
        <v>3949</v>
      </c>
      <c r="G19" s="89">
        <v>0</v>
      </c>
      <c r="H19" s="90">
        <f t="shared" si="5"/>
        <v>3949</v>
      </c>
      <c r="I19" s="91">
        <v>4.8000000000000001E-2</v>
      </c>
      <c r="J19" s="92">
        <f t="shared" si="7"/>
        <v>4139</v>
      </c>
      <c r="K19" s="93">
        <f t="shared" si="1"/>
        <v>0</v>
      </c>
      <c r="L19" s="94">
        <f t="shared" si="2"/>
        <v>4139</v>
      </c>
      <c r="M19" s="95" t="s">
        <v>21</v>
      </c>
      <c r="N19" s="93">
        <v>3763</v>
      </c>
      <c r="O19" s="93">
        <f>+ROUND(N19*0.1,0)</f>
        <v>376</v>
      </c>
      <c r="P19" s="93">
        <f>+O19+N19</f>
        <v>4139</v>
      </c>
      <c r="Q19" s="96">
        <v>0.08</v>
      </c>
      <c r="R19" s="97">
        <v>0.1</v>
      </c>
      <c r="S19" s="85">
        <f t="shared" si="3"/>
        <v>376</v>
      </c>
      <c r="T19" s="98">
        <f t="shared" si="4"/>
        <v>0</v>
      </c>
    </row>
    <row r="20" spans="1:20">
      <c r="A20" s="166">
        <v>4</v>
      </c>
      <c r="B20" s="166" t="s">
        <v>32</v>
      </c>
      <c r="C20" s="166" t="s">
        <v>18</v>
      </c>
      <c r="D20" s="212" t="s">
        <v>33</v>
      </c>
      <c r="E20" s="89" t="s">
        <v>25</v>
      </c>
      <c r="F20" s="90">
        <v>1830</v>
      </c>
      <c r="G20" s="102">
        <v>183</v>
      </c>
      <c r="H20" s="90">
        <f t="shared" si="5"/>
        <v>2013</v>
      </c>
      <c r="I20" s="91">
        <f>104.808743169399%-1</f>
        <v>4.8087431693989879E-2</v>
      </c>
      <c r="J20" s="92">
        <v>1918</v>
      </c>
      <c r="K20" s="92">
        <f>+ROUND(J20*0.1,0)</f>
        <v>192</v>
      </c>
      <c r="L20" s="92">
        <f t="shared" si="2"/>
        <v>2110</v>
      </c>
      <c r="M20" s="100" t="s">
        <v>26</v>
      </c>
      <c r="N20" s="92">
        <v>1918</v>
      </c>
      <c r="O20" s="92">
        <v>192</v>
      </c>
      <c r="P20" s="94">
        <v>2110</v>
      </c>
      <c r="Q20" s="96">
        <v>0.08</v>
      </c>
      <c r="R20" s="97">
        <v>0.1</v>
      </c>
      <c r="S20" s="85">
        <f t="shared" si="3"/>
        <v>192</v>
      </c>
      <c r="T20" s="98">
        <f t="shared" si="4"/>
        <v>0</v>
      </c>
    </row>
    <row r="21" spans="1:20">
      <c r="A21" s="167"/>
      <c r="B21" s="167"/>
      <c r="C21" s="167"/>
      <c r="D21" s="212"/>
      <c r="E21" s="89" t="s">
        <v>27</v>
      </c>
      <c r="F21" s="90">
        <v>3007</v>
      </c>
      <c r="G21" s="102">
        <v>301</v>
      </c>
      <c r="H21" s="90">
        <f t="shared" si="5"/>
        <v>3308</v>
      </c>
      <c r="I21" s="91">
        <f>104.822081809112%-1</f>
        <v>4.822081809112011E-2</v>
      </c>
      <c r="J21" s="92">
        <v>3152</v>
      </c>
      <c r="K21" s="92">
        <f>+ROUND(J21*0.1,0)+1</f>
        <v>316</v>
      </c>
      <c r="L21" s="92">
        <f t="shared" si="2"/>
        <v>3468</v>
      </c>
      <c r="M21" s="100" t="s">
        <v>26</v>
      </c>
      <c r="N21" s="92">
        <v>3152</v>
      </c>
      <c r="O21" s="92">
        <v>316</v>
      </c>
      <c r="P21" s="94">
        <v>3468</v>
      </c>
      <c r="Q21" s="96">
        <v>0.08</v>
      </c>
      <c r="R21" s="97">
        <v>0.1</v>
      </c>
      <c r="S21" s="85">
        <f t="shared" si="3"/>
        <v>315</v>
      </c>
      <c r="T21" s="98">
        <f t="shared" si="4"/>
        <v>-1</v>
      </c>
    </row>
    <row r="22" spans="1:20">
      <c r="A22" s="167"/>
      <c r="B22" s="167"/>
      <c r="C22" s="167"/>
      <c r="D22" s="212"/>
      <c r="E22" s="89" t="s">
        <v>28</v>
      </c>
      <c r="F22" s="90">
        <v>5174</v>
      </c>
      <c r="G22" s="102">
        <v>517</v>
      </c>
      <c r="H22" s="90">
        <f t="shared" si="5"/>
        <v>5691</v>
      </c>
      <c r="I22" s="91">
        <f>104.793196752996%-1</f>
        <v>4.7931967529959874E-2</v>
      </c>
      <c r="J22" s="92">
        <v>5422</v>
      </c>
      <c r="K22" s="92">
        <f t="shared" ref="K22" si="9">+ROUND(J22*0.1,0)</f>
        <v>542</v>
      </c>
      <c r="L22" s="92">
        <f t="shared" si="2"/>
        <v>5964</v>
      </c>
      <c r="M22" s="100" t="s">
        <v>26</v>
      </c>
      <c r="N22" s="92">
        <v>5422</v>
      </c>
      <c r="O22" s="92">
        <v>542</v>
      </c>
      <c r="P22" s="94">
        <v>5964</v>
      </c>
      <c r="Q22" s="96">
        <v>0.08</v>
      </c>
      <c r="R22" s="97">
        <v>0.1</v>
      </c>
      <c r="S22" s="85">
        <f t="shared" si="3"/>
        <v>542</v>
      </c>
      <c r="T22" s="98">
        <f t="shared" si="4"/>
        <v>0</v>
      </c>
    </row>
    <row r="23" spans="1:20">
      <c r="A23" s="167"/>
      <c r="B23" s="167"/>
      <c r="C23" s="167"/>
      <c r="D23" s="89" t="s">
        <v>29</v>
      </c>
      <c r="E23" s="89" t="s">
        <v>20</v>
      </c>
      <c r="F23" s="90">
        <v>2197</v>
      </c>
      <c r="G23" s="89">
        <v>0</v>
      </c>
      <c r="H23" s="90">
        <f t="shared" si="5"/>
        <v>2197</v>
      </c>
      <c r="I23" s="91">
        <v>4.8000000000000001E-2</v>
      </c>
      <c r="J23" s="92">
        <f t="shared" si="7"/>
        <v>2302</v>
      </c>
      <c r="K23" s="93">
        <f t="shared" si="1"/>
        <v>0</v>
      </c>
      <c r="L23" s="94">
        <f t="shared" si="2"/>
        <v>2302</v>
      </c>
      <c r="M23" s="95" t="s">
        <v>21</v>
      </c>
      <c r="N23" s="93">
        <v>2093</v>
      </c>
      <c r="O23" s="93">
        <f>+ROUND(N23*0.1,0)</f>
        <v>209</v>
      </c>
      <c r="P23" s="93">
        <f>+O23+N23</f>
        <v>2302</v>
      </c>
      <c r="Q23" s="96">
        <v>0.08</v>
      </c>
      <c r="R23" s="97">
        <v>0.1</v>
      </c>
      <c r="S23" s="85">
        <f t="shared" si="3"/>
        <v>209</v>
      </c>
      <c r="T23" s="98">
        <f t="shared" si="4"/>
        <v>0</v>
      </c>
    </row>
    <row r="24" spans="1:20">
      <c r="A24" s="168"/>
      <c r="B24" s="168"/>
      <c r="C24" s="168"/>
      <c r="D24" s="89" t="s">
        <v>34</v>
      </c>
      <c r="E24" s="89" t="s">
        <v>20</v>
      </c>
      <c r="F24" s="90">
        <v>3949</v>
      </c>
      <c r="G24" s="89">
        <v>0</v>
      </c>
      <c r="H24" s="90">
        <f t="shared" si="5"/>
        <v>3949</v>
      </c>
      <c r="I24" s="91">
        <v>4.8000000000000001E-2</v>
      </c>
      <c r="J24" s="92">
        <f t="shared" si="7"/>
        <v>4139</v>
      </c>
      <c r="K24" s="93">
        <f t="shared" si="1"/>
        <v>0</v>
      </c>
      <c r="L24" s="94">
        <f t="shared" si="2"/>
        <v>4139</v>
      </c>
      <c r="M24" s="95" t="s">
        <v>21</v>
      </c>
      <c r="N24" s="93">
        <v>3763</v>
      </c>
      <c r="O24" s="93">
        <f>+ROUND(N24*0.1,0)</f>
        <v>376</v>
      </c>
      <c r="P24" s="93">
        <f>+O24+N24</f>
        <v>4139</v>
      </c>
      <c r="Q24" s="96">
        <v>0.08</v>
      </c>
      <c r="R24" s="97">
        <v>0.1</v>
      </c>
      <c r="S24" s="85">
        <f t="shared" si="3"/>
        <v>376</v>
      </c>
      <c r="T24" s="98">
        <f t="shared" si="4"/>
        <v>0</v>
      </c>
    </row>
    <row r="25" spans="1:20">
      <c r="A25" s="166">
        <v>5</v>
      </c>
      <c r="B25" s="166" t="s">
        <v>35</v>
      </c>
      <c r="C25" s="166" t="s">
        <v>18</v>
      </c>
      <c r="D25" s="212" t="s">
        <v>36</v>
      </c>
      <c r="E25" s="89" t="s">
        <v>25</v>
      </c>
      <c r="F25" s="90">
        <v>1830</v>
      </c>
      <c r="G25" s="102">
        <v>183</v>
      </c>
      <c r="H25" s="90">
        <f t="shared" si="5"/>
        <v>2013</v>
      </c>
      <c r="I25" s="91">
        <f>104.808743169399%-1</f>
        <v>4.8087431693989879E-2</v>
      </c>
      <c r="J25" s="92">
        <v>1918</v>
      </c>
      <c r="K25" s="92">
        <f>+ROUND(J25*0.1,0)</f>
        <v>192</v>
      </c>
      <c r="L25" s="92">
        <f t="shared" si="2"/>
        <v>2110</v>
      </c>
      <c r="M25" s="100" t="s">
        <v>26</v>
      </c>
      <c r="N25" s="92">
        <v>1918</v>
      </c>
      <c r="O25" s="92">
        <v>192</v>
      </c>
      <c r="P25" s="94">
        <v>2110</v>
      </c>
      <c r="Q25" s="96">
        <v>0.08</v>
      </c>
      <c r="R25" s="97">
        <v>0.1</v>
      </c>
      <c r="S25" s="85">
        <f t="shared" si="3"/>
        <v>192</v>
      </c>
      <c r="T25" s="98">
        <f t="shared" si="4"/>
        <v>0</v>
      </c>
    </row>
    <row r="26" spans="1:20">
      <c r="A26" s="167"/>
      <c r="B26" s="167"/>
      <c r="C26" s="167"/>
      <c r="D26" s="212"/>
      <c r="E26" s="89" t="s">
        <v>27</v>
      </c>
      <c r="F26" s="90">
        <v>3007</v>
      </c>
      <c r="G26" s="102">
        <v>301</v>
      </c>
      <c r="H26" s="90">
        <f t="shared" si="5"/>
        <v>3308</v>
      </c>
      <c r="I26" s="91">
        <f>104.822081809112%-1</f>
        <v>4.822081809112011E-2</v>
      </c>
      <c r="J26" s="92">
        <v>3152</v>
      </c>
      <c r="K26" s="92">
        <f>+ROUND(J26*0.1,0)+1</f>
        <v>316</v>
      </c>
      <c r="L26" s="92">
        <f t="shared" si="2"/>
        <v>3468</v>
      </c>
      <c r="M26" s="100" t="s">
        <v>26</v>
      </c>
      <c r="N26" s="92">
        <v>3152</v>
      </c>
      <c r="O26" s="92">
        <v>316</v>
      </c>
      <c r="P26" s="94">
        <v>3468</v>
      </c>
      <c r="Q26" s="96">
        <v>0.08</v>
      </c>
      <c r="R26" s="97">
        <v>0.1</v>
      </c>
      <c r="S26" s="85">
        <f t="shared" si="3"/>
        <v>315</v>
      </c>
      <c r="T26" s="98">
        <f t="shared" si="4"/>
        <v>-1</v>
      </c>
    </row>
    <row r="27" spans="1:20">
      <c r="A27" s="167"/>
      <c r="B27" s="167"/>
      <c r="C27" s="167"/>
      <c r="D27" s="212"/>
      <c r="E27" s="89" t="s">
        <v>28</v>
      </c>
      <c r="F27" s="90">
        <v>5174</v>
      </c>
      <c r="G27" s="102">
        <v>517</v>
      </c>
      <c r="H27" s="90">
        <f t="shared" si="5"/>
        <v>5691</v>
      </c>
      <c r="I27" s="91">
        <f>104.793196752996%-1</f>
        <v>4.7931967529959874E-2</v>
      </c>
      <c r="J27" s="92">
        <v>5422</v>
      </c>
      <c r="K27" s="92">
        <f>+ROUND(J27*0.1,0)</f>
        <v>542</v>
      </c>
      <c r="L27" s="92">
        <f t="shared" si="2"/>
        <v>5964</v>
      </c>
      <c r="M27" s="100" t="s">
        <v>26</v>
      </c>
      <c r="N27" s="92">
        <v>5422</v>
      </c>
      <c r="O27" s="92">
        <v>542</v>
      </c>
      <c r="P27" s="94">
        <v>5964</v>
      </c>
      <c r="Q27" s="96">
        <v>0.08</v>
      </c>
      <c r="R27" s="97">
        <v>0.1</v>
      </c>
      <c r="S27" s="85">
        <f t="shared" si="3"/>
        <v>542</v>
      </c>
      <c r="T27" s="98">
        <f t="shared" si="4"/>
        <v>0</v>
      </c>
    </row>
    <row r="28" spans="1:20">
      <c r="A28" s="167"/>
      <c r="B28" s="167"/>
      <c r="C28" s="167"/>
      <c r="D28" s="89" t="s">
        <v>37</v>
      </c>
      <c r="E28" s="89" t="s">
        <v>20</v>
      </c>
      <c r="F28" s="90">
        <v>6417</v>
      </c>
      <c r="G28" s="89">
        <v>0</v>
      </c>
      <c r="H28" s="90">
        <f t="shared" si="5"/>
        <v>6417</v>
      </c>
      <c r="I28" s="91">
        <v>4.8000000000000001E-2</v>
      </c>
      <c r="J28" s="92">
        <f t="shared" si="7"/>
        <v>6725</v>
      </c>
      <c r="K28" s="93">
        <f t="shared" si="1"/>
        <v>0</v>
      </c>
      <c r="L28" s="94">
        <f t="shared" si="2"/>
        <v>6725</v>
      </c>
      <c r="M28" s="95" t="s">
        <v>21</v>
      </c>
      <c r="N28" s="93">
        <v>6113.6363636363631</v>
      </c>
      <c r="O28" s="93">
        <f>+ROUND(N28*0.1,0)</f>
        <v>611</v>
      </c>
      <c r="P28" s="93">
        <f>+O28+N28</f>
        <v>6724.6363636363631</v>
      </c>
      <c r="Q28" s="96">
        <v>0.08</v>
      </c>
      <c r="R28" s="97">
        <v>0.1</v>
      </c>
      <c r="S28" s="85">
        <f t="shared" si="3"/>
        <v>611</v>
      </c>
      <c r="T28" s="98">
        <f t="shared" si="4"/>
        <v>0</v>
      </c>
    </row>
    <row r="29" spans="1:20">
      <c r="A29" s="168"/>
      <c r="B29" s="168"/>
      <c r="C29" s="168"/>
      <c r="D29" s="89" t="s">
        <v>38</v>
      </c>
      <c r="E29" s="89" t="s">
        <v>20</v>
      </c>
      <c r="F29" s="90">
        <v>4724</v>
      </c>
      <c r="G29" s="89">
        <v>0</v>
      </c>
      <c r="H29" s="90">
        <f t="shared" si="5"/>
        <v>4724</v>
      </c>
      <c r="I29" s="91">
        <v>4.8000000000000001E-2</v>
      </c>
      <c r="J29" s="92">
        <f t="shared" si="7"/>
        <v>4951</v>
      </c>
      <c r="K29" s="93">
        <f t="shared" si="1"/>
        <v>0</v>
      </c>
      <c r="L29" s="94">
        <f t="shared" si="2"/>
        <v>4951</v>
      </c>
      <c r="M29" s="95" t="s">
        <v>21</v>
      </c>
      <c r="N29" s="93">
        <v>4501</v>
      </c>
      <c r="O29" s="93">
        <f>+ROUND(N29*0.1,0)</f>
        <v>450</v>
      </c>
      <c r="P29" s="93">
        <f>+O29+N29</f>
        <v>4951</v>
      </c>
      <c r="Q29" s="96">
        <v>0.08</v>
      </c>
      <c r="R29" s="97">
        <v>0.1</v>
      </c>
      <c r="S29" s="85">
        <f t="shared" si="3"/>
        <v>450</v>
      </c>
      <c r="T29" s="98">
        <f t="shared" si="4"/>
        <v>0</v>
      </c>
    </row>
    <row r="30" spans="1:20">
      <c r="A30" s="103"/>
      <c r="B30" s="103"/>
      <c r="C30" s="103"/>
      <c r="D30" s="104"/>
      <c r="E30" s="104"/>
      <c r="F30" s="105"/>
      <c r="G30" s="104"/>
      <c r="H30" s="105"/>
      <c r="I30" s="106"/>
      <c r="J30" s="107"/>
      <c r="K30" s="108"/>
      <c r="L30" s="109"/>
      <c r="M30" s="110"/>
      <c r="N30" s="108"/>
      <c r="O30" s="108"/>
      <c r="P30" s="108"/>
      <c r="Q30" s="111"/>
      <c r="R30" s="112"/>
      <c r="S30" s="85"/>
      <c r="T30" s="98"/>
    </row>
    <row r="31" spans="1:20">
      <c r="A31" s="103"/>
      <c r="B31" s="103"/>
      <c r="C31" s="103"/>
      <c r="D31" s="104"/>
      <c r="E31" s="104"/>
      <c r="F31" s="105"/>
      <c r="G31" s="104"/>
      <c r="H31" s="105"/>
      <c r="I31" s="106"/>
      <c r="J31" s="107"/>
      <c r="K31" s="108"/>
      <c r="L31" s="109"/>
      <c r="M31" s="110"/>
      <c r="N31" s="108"/>
      <c r="O31" s="108"/>
      <c r="P31" s="108"/>
      <c r="Q31" s="111"/>
      <c r="R31" s="112"/>
      <c r="S31" s="85"/>
      <c r="T31" s="98"/>
    </row>
    <row r="32" spans="1:20">
      <c r="A32" s="103"/>
      <c r="B32" s="103"/>
      <c r="C32" s="103"/>
      <c r="D32" s="104"/>
      <c r="E32" s="104"/>
      <c r="F32" s="105"/>
      <c r="G32" s="104"/>
      <c r="H32" s="105"/>
      <c r="I32" s="106"/>
      <c r="J32" s="107"/>
      <c r="K32" s="108"/>
      <c r="L32" s="109"/>
      <c r="M32" s="110"/>
      <c r="N32" s="108"/>
      <c r="O32" s="108"/>
      <c r="P32" s="108"/>
      <c r="Q32" s="111"/>
      <c r="R32" s="112"/>
      <c r="S32" s="85"/>
      <c r="T32" s="98"/>
    </row>
    <row r="33" spans="1:20">
      <c r="A33" s="103"/>
      <c r="B33" s="103"/>
      <c r="C33" s="103"/>
      <c r="D33" s="104"/>
      <c r="E33" s="104"/>
      <c r="F33" s="105"/>
      <c r="G33" s="104"/>
      <c r="H33" s="105"/>
      <c r="I33" s="106"/>
      <c r="J33" s="107"/>
      <c r="K33" s="108"/>
      <c r="L33" s="109"/>
      <c r="M33" s="110"/>
      <c r="N33" s="108"/>
      <c r="O33" s="108"/>
      <c r="P33" s="108"/>
      <c r="Q33" s="111"/>
      <c r="R33" s="112"/>
      <c r="S33" s="85"/>
      <c r="T33" s="98"/>
    </row>
    <row r="34" spans="1:20">
      <c r="A34" s="103"/>
      <c r="B34" s="103"/>
      <c r="C34" s="103"/>
      <c r="D34" s="104"/>
      <c r="E34" s="104"/>
      <c r="F34" s="105"/>
      <c r="G34" s="104"/>
      <c r="H34" s="105"/>
      <c r="I34" s="106"/>
      <c r="J34" s="107"/>
      <c r="K34" s="108"/>
      <c r="L34" s="109"/>
      <c r="M34" s="110"/>
      <c r="N34" s="108"/>
      <c r="O34" s="108"/>
      <c r="P34" s="108"/>
      <c r="Q34" s="111"/>
      <c r="R34" s="112"/>
      <c r="S34" s="85"/>
      <c r="T34" s="98"/>
    </row>
    <row r="35" spans="1:20">
      <c r="A35" s="103"/>
      <c r="B35" s="103"/>
      <c r="C35" s="103"/>
      <c r="D35" s="104"/>
      <c r="E35" s="104"/>
      <c r="F35" s="105"/>
      <c r="G35" s="104"/>
      <c r="H35" s="105"/>
      <c r="I35" s="106"/>
      <c r="J35" s="107"/>
      <c r="K35" s="108"/>
      <c r="L35" s="109"/>
      <c r="M35" s="110"/>
      <c r="N35" s="108"/>
      <c r="O35" s="108"/>
      <c r="P35" s="108"/>
      <c r="Q35" s="111"/>
      <c r="R35" s="112"/>
      <c r="S35" s="85"/>
      <c r="T35" s="98"/>
    </row>
    <row r="36" spans="1:20">
      <c r="A36" s="103"/>
      <c r="B36" s="103"/>
      <c r="C36" s="103"/>
      <c r="D36" s="104"/>
      <c r="E36" s="104"/>
      <c r="F36" s="105"/>
      <c r="G36" s="104"/>
      <c r="H36" s="105"/>
      <c r="I36" s="106"/>
      <c r="J36" s="107"/>
      <c r="K36" s="108"/>
      <c r="L36" s="109"/>
      <c r="M36" s="110"/>
      <c r="N36" s="108"/>
      <c r="O36" s="108"/>
      <c r="P36" s="108"/>
      <c r="Q36" s="111"/>
      <c r="R36" s="112"/>
      <c r="S36" s="85"/>
      <c r="T36" s="98"/>
    </row>
    <row r="37" spans="1:20">
      <c r="A37" s="103"/>
      <c r="B37" s="103"/>
      <c r="C37" s="103"/>
      <c r="D37" s="104"/>
      <c r="E37" s="104"/>
      <c r="F37" s="105"/>
      <c r="G37" s="104"/>
      <c r="H37" s="105"/>
      <c r="I37" s="106"/>
      <c r="J37" s="107"/>
      <c r="K37" s="108"/>
      <c r="L37" s="109"/>
      <c r="M37" s="110"/>
      <c r="N37" s="108"/>
      <c r="O37" s="108"/>
      <c r="P37" s="108"/>
      <c r="Q37" s="111"/>
      <c r="R37" s="112"/>
      <c r="S37" s="85"/>
      <c r="T37" s="98"/>
    </row>
    <row r="38" spans="1:20">
      <c r="A38" s="103"/>
      <c r="B38" s="103"/>
      <c r="C38" s="103"/>
      <c r="D38" s="104"/>
      <c r="E38" s="104"/>
      <c r="F38" s="105"/>
      <c r="G38" s="104"/>
      <c r="H38" s="105"/>
      <c r="I38" s="106"/>
      <c r="J38" s="107"/>
      <c r="K38" s="108"/>
      <c r="L38" s="109"/>
      <c r="M38" s="110"/>
      <c r="N38" s="108"/>
      <c r="O38" s="108"/>
      <c r="P38" s="108"/>
      <c r="Q38" s="111"/>
      <c r="R38" s="112"/>
      <c r="S38" s="85"/>
      <c r="T38" s="98"/>
    </row>
    <row r="39" spans="1:20">
      <c r="A39" s="103"/>
      <c r="B39" s="103"/>
      <c r="C39" s="103"/>
      <c r="D39" s="104"/>
      <c r="E39" s="104"/>
      <c r="F39" s="105"/>
      <c r="G39" s="104"/>
      <c r="H39" s="105"/>
      <c r="I39" s="106"/>
      <c r="J39" s="107"/>
      <c r="K39" s="108"/>
      <c r="L39" s="109"/>
      <c r="M39" s="110"/>
      <c r="N39" s="108"/>
      <c r="O39" s="108"/>
      <c r="P39" s="108"/>
      <c r="Q39" s="111"/>
      <c r="R39" s="112"/>
      <c r="S39" s="85"/>
      <c r="T39" s="98"/>
    </row>
    <row r="42" spans="1:20" ht="43.15" customHeight="1">
      <c r="A42" s="198" t="s">
        <v>39</v>
      </c>
      <c r="B42" s="198"/>
      <c r="C42" s="198"/>
      <c r="D42" s="198"/>
      <c r="E42" s="198"/>
      <c r="F42" s="198"/>
      <c r="G42" s="198"/>
      <c r="I42" s="46"/>
    </row>
    <row r="43" spans="1:20" ht="9" customHeight="1">
      <c r="A43" s="198"/>
      <c r="B43" s="198"/>
      <c r="C43" s="198"/>
      <c r="D43" s="198"/>
      <c r="E43" s="198"/>
      <c r="F43" s="198"/>
      <c r="G43" s="198"/>
      <c r="I43" s="46"/>
    </row>
    <row r="44" spans="1:20" ht="27.6">
      <c r="A44" s="3" t="s">
        <v>40</v>
      </c>
      <c r="B44" s="3" t="s">
        <v>41</v>
      </c>
      <c r="C44" s="3" t="s">
        <v>42</v>
      </c>
      <c r="D44" s="4" t="s">
        <v>43</v>
      </c>
      <c r="E44" s="5" t="s">
        <v>44</v>
      </c>
      <c r="F44" s="4" t="s">
        <v>45</v>
      </c>
      <c r="G44" s="4" t="s">
        <v>9</v>
      </c>
      <c r="I44" s="46"/>
    </row>
    <row r="45" spans="1:20" ht="57.6">
      <c r="A45" s="4">
        <v>1</v>
      </c>
      <c r="B45" s="5" t="s">
        <v>46</v>
      </c>
      <c r="C45" s="5" t="s">
        <v>47</v>
      </c>
      <c r="D45" s="4" t="s">
        <v>48</v>
      </c>
      <c r="E45" s="6">
        <v>4216</v>
      </c>
      <c r="F45" s="7" t="s">
        <v>49</v>
      </c>
      <c r="G45" s="7" t="s">
        <v>50</v>
      </c>
      <c r="I45" s="46"/>
    </row>
    <row r="48" spans="1:20" ht="25.15" customHeight="1">
      <c r="A48" s="199" t="s">
        <v>51</v>
      </c>
      <c r="B48" s="200"/>
      <c r="C48" s="200"/>
      <c r="D48" s="200"/>
      <c r="E48" s="200"/>
      <c r="F48" s="200"/>
      <c r="G48" s="200"/>
      <c r="H48" s="200"/>
      <c r="I48" s="200"/>
      <c r="J48" s="200"/>
      <c r="K48" s="201"/>
    </row>
    <row r="49" spans="1:12" ht="34.9" customHeight="1">
      <c r="A49" s="202"/>
      <c r="B49" s="203"/>
      <c r="C49" s="203"/>
      <c r="D49" s="203"/>
      <c r="E49" s="203"/>
      <c r="F49" s="203"/>
      <c r="G49" s="203"/>
      <c r="H49" s="203"/>
      <c r="I49" s="203"/>
      <c r="J49" s="203"/>
      <c r="K49" s="204"/>
    </row>
    <row r="50" spans="1:12" ht="34.15">
      <c r="A50" s="44" t="s">
        <v>5</v>
      </c>
      <c r="B50" s="44"/>
      <c r="C50" s="44" t="s">
        <v>52</v>
      </c>
      <c r="D50" s="45" t="s">
        <v>6</v>
      </c>
      <c r="E50" s="45"/>
      <c r="F50" s="45"/>
      <c r="G50" s="45"/>
      <c r="H50" s="45" t="s">
        <v>7</v>
      </c>
      <c r="I50" s="45"/>
      <c r="J50" s="48"/>
      <c r="K50" s="48"/>
    </row>
    <row r="51" spans="1:12" ht="22.9">
      <c r="A51" s="49"/>
      <c r="B51" s="49"/>
      <c r="C51" s="49"/>
      <c r="D51" s="45" t="s">
        <v>10</v>
      </c>
      <c r="E51" s="45" t="s">
        <v>53</v>
      </c>
      <c r="F51" s="47" t="s">
        <v>11</v>
      </c>
      <c r="G51" s="47" t="s">
        <v>12</v>
      </c>
      <c r="H51" s="45" t="s">
        <v>10</v>
      </c>
      <c r="I51" s="45" t="s">
        <v>53</v>
      </c>
      <c r="J51" s="47" t="s">
        <v>11</v>
      </c>
      <c r="K51" s="47" t="s">
        <v>12</v>
      </c>
    </row>
    <row r="52" spans="1:12">
      <c r="A52" s="205" t="s">
        <v>54</v>
      </c>
      <c r="B52" s="51" t="s">
        <v>55</v>
      </c>
      <c r="C52" s="51">
        <f>196.5/10</f>
        <v>19.649999999999999</v>
      </c>
      <c r="D52" s="52">
        <v>3873</v>
      </c>
      <c r="E52" s="52">
        <f>+C52*D52</f>
        <v>76104.45</v>
      </c>
      <c r="F52" s="52">
        <f>+ROUND(E52*0.1,0)</f>
        <v>7610</v>
      </c>
      <c r="G52" s="52">
        <f>+E52+F52</f>
        <v>83714.45</v>
      </c>
      <c r="H52" s="52">
        <v>4059</v>
      </c>
      <c r="I52" s="52">
        <f>+C52*H52</f>
        <v>79759.349999999991</v>
      </c>
      <c r="J52" s="52">
        <f>+ROUND(I52*0.1,0)</f>
        <v>7976</v>
      </c>
      <c r="K52" s="52">
        <f>+I52+J52</f>
        <v>87735.349999999991</v>
      </c>
    </row>
    <row r="53" spans="1:12">
      <c r="A53" s="205"/>
      <c r="B53" s="51" t="s">
        <v>56</v>
      </c>
      <c r="C53" s="51">
        <f>2/10</f>
        <v>0.2</v>
      </c>
      <c r="D53" s="52">
        <v>31045</v>
      </c>
      <c r="E53" s="52">
        <f t="shared" ref="E53:E54" si="10">+C53*D53</f>
        <v>6209</v>
      </c>
      <c r="F53" s="52"/>
      <c r="G53" s="52">
        <f t="shared" ref="G53:G54" si="11">+E53+F53</f>
        <v>6209</v>
      </c>
      <c r="H53" s="52">
        <v>32334</v>
      </c>
      <c r="I53" s="52">
        <f t="shared" ref="I53:I54" si="12">+C53*H53</f>
        <v>6466.8</v>
      </c>
      <c r="J53" s="52"/>
      <c r="K53" s="52">
        <f t="shared" ref="K53:K54" si="13">+I53+J53</f>
        <v>6466.8</v>
      </c>
    </row>
    <row r="54" spans="1:12">
      <c r="A54" s="205"/>
      <c r="B54" s="51" t="s">
        <v>57</v>
      </c>
      <c r="C54" s="51">
        <f>18/10</f>
        <v>1.8</v>
      </c>
      <c r="D54" s="52">
        <v>3873</v>
      </c>
      <c r="E54" s="52">
        <f t="shared" si="10"/>
        <v>6971.4000000000005</v>
      </c>
      <c r="F54" s="52"/>
      <c r="G54" s="52">
        <f t="shared" si="11"/>
        <v>6971.4000000000005</v>
      </c>
      <c r="H54" s="52">
        <v>4059</v>
      </c>
      <c r="I54" s="52">
        <f t="shared" si="12"/>
        <v>7306.2</v>
      </c>
      <c r="J54" s="52"/>
      <c r="K54" s="52">
        <f t="shared" si="13"/>
        <v>7306.2</v>
      </c>
    </row>
    <row r="55" spans="1:12">
      <c r="A55" s="205"/>
      <c r="B55" s="51" t="s">
        <v>20</v>
      </c>
      <c r="C55" s="51"/>
      <c r="D55" s="52"/>
      <c r="E55" s="53">
        <f>+SUM(E52:E54)</f>
        <v>89284.849999999991</v>
      </c>
      <c r="F55" s="53">
        <f>+SUM(F52:F54)</f>
        <v>7610</v>
      </c>
      <c r="G55" s="53">
        <f>+SUM(G52:G54)</f>
        <v>96894.849999999991</v>
      </c>
      <c r="H55" s="53"/>
      <c r="I55" s="53">
        <f>+SUM(I52:I54)</f>
        <v>93532.349999999991</v>
      </c>
      <c r="J55" s="53">
        <f>+SUM(J52:J54)</f>
        <v>7976</v>
      </c>
      <c r="K55" s="53">
        <f>+SUM(K52:K54)</f>
        <v>101508.34999999999</v>
      </c>
    </row>
    <row r="56" spans="1:12">
      <c r="A56" s="205" t="s">
        <v>58</v>
      </c>
      <c r="B56" s="51" t="s">
        <v>55</v>
      </c>
      <c r="C56" s="51">
        <v>416</v>
      </c>
      <c r="D56" s="52">
        <v>3873</v>
      </c>
      <c r="E56" s="52">
        <f>+C56*D56</f>
        <v>1611168</v>
      </c>
      <c r="F56" s="52">
        <f>+ROUND(E56*0.1,0)</f>
        <v>161117</v>
      </c>
      <c r="G56" s="52">
        <f>+E56+F56</f>
        <v>1772285</v>
      </c>
      <c r="H56" s="52">
        <v>4059</v>
      </c>
      <c r="I56" s="52">
        <f>+C56*H56</f>
        <v>1688544</v>
      </c>
      <c r="J56" s="52">
        <f>+ROUND(I56*0.1,0)</f>
        <v>168854</v>
      </c>
      <c r="K56" s="52">
        <f>+I56+J56</f>
        <v>1857398</v>
      </c>
    </row>
    <row r="57" spans="1:12">
      <c r="A57" s="205"/>
      <c r="B57" s="51" t="s">
        <v>56</v>
      </c>
      <c r="C57" s="51">
        <v>10</v>
      </c>
      <c r="D57" s="52">
        <v>31045</v>
      </c>
      <c r="E57" s="52">
        <f t="shared" ref="E57:E60" si="14">+C57*D57</f>
        <v>310450</v>
      </c>
      <c r="F57" s="52"/>
      <c r="G57" s="52">
        <f t="shared" ref="G57:G60" si="15">+E57+F57</f>
        <v>310450</v>
      </c>
      <c r="H57" s="52">
        <v>32334</v>
      </c>
      <c r="I57" s="52">
        <f t="shared" ref="I57:I58" si="16">+C57*H57</f>
        <v>323340</v>
      </c>
      <c r="J57" s="52"/>
      <c r="K57" s="52">
        <f t="shared" ref="K57:K58" si="17">+I57+J57</f>
        <v>323340</v>
      </c>
    </row>
    <row r="58" spans="1:12">
      <c r="A58" s="205"/>
      <c r="B58" s="51" t="s">
        <v>57</v>
      </c>
      <c r="C58" s="51">
        <v>118.4</v>
      </c>
      <c r="D58" s="52">
        <v>3873</v>
      </c>
      <c r="E58" s="52">
        <f t="shared" si="14"/>
        <v>458563.2</v>
      </c>
      <c r="F58" s="52"/>
      <c r="G58" s="52">
        <f t="shared" si="15"/>
        <v>458563.2</v>
      </c>
      <c r="H58" s="52">
        <v>4059</v>
      </c>
      <c r="I58" s="52">
        <f t="shared" si="16"/>
        <v>480585.60000000003</v>
      </c>
      <c r="J58" s="52"/>
      <c r="K58" s="52">
        <f t="shared" si="17"/>
        <v>480585.60000000003</v>
      </c>
    </row>
    <row r="59" spans="1:12">
      <c r="A59" s="205"/>
      <c r="B59" s="51" t="s">
        <v>20</v>
      </c>
      <c r="C59" s="51"/>
      <c r="D59" s="53"/>
      <c r="E59" s="53">
        <f>+SUM(E56:E58)</f>
        <v>2380181.2000000002</v>
      </c>
      <c r="F59" s="53">
        <f>+SUM(F56:F58)</f>
        <v>161117</v>
      </c>
      <c r="G59" s="53">
        <f>+SUM(G56:G58)</f>
        <v>2541298.2000000002</v>
      </c>
      <c r="H59" s="53"/>
      <c r="I59" s="53">
        <f>+SUM(I56:I58)</f>
        <v>2492469.6</v>
      </c>
      <c r="J59" s="53">
        <f>+SUM(J56:J58)</f>
        <v>168854</v>
      </c>
      <c r="K59" s="53">
        <f>+SUM(K56:K58)</f>
        <v>2661323.6</v>
      </c>
    </row>
    <row r="60" spans="1:12" ht="55.15" customHeight="1">
      <c r="A60" s="54" t="s">
        <v>59</v>
      </c>
      <c r="B60" s="51" t="s">
        <v>20</v>
      </c>
      <c r="C60" s="51">
        <v>81.822000000000003</v>
      </c>
      <c r="D60" s="53">
        <v>3873</v>
      </c>
      <c r="E60" s="53">
        <f t="shared" si="14"/>
        <v>316896.60600000003</v>
      </c>
      <c r="F60" s="53"/>
      <c r="G60" s="53">
        <f t="shared" si="15"/>
        <v>316896.60600000003</v>
      </c>
      <c r="H60" s="53">
        <v>4059</v>
      </c>
      <c r="I60" s="53">
        <f t="shared" ref="I60" si="18">+C60*H60</f>
        <v>332115.49800000002</v>
      </c>
      <c r="J60" s="53"/>
      <c r="K60" s="53">
        <f t="shared" ref="K60" si="19">+I60+J60</f>
        <v>332115.49800000002</v>
      </c>
    </row>
    <row r="61" spans="1:12" ht="24" customHeight="1">
      <c r="A61" s="55"/>
      <c r="D61" s="56"/>
      <c r="E61" s="56"/>
      <c r="F61" s="56"/>
      <c r="G61" s="56"/>
      <c r="H61" s="56"/>
      <c r="I61" s="56"/>
      <c r="J61" s="56"/>
      <c r="K61" s="56"/>
    </row>
    <row r="62" spans="1:12" ht="30" customHeight="1"/>
    <row r="63" spans="1:12">
      <c r="A63" s="206" t="s">
        <v>60</v>
      </c>
      <c r="B63" s="207"/>
      <c r="C63" s="207"/>
      <c r="D63" s="207"/>
      <c r="E63" s="207"/>
      <c r="F63" s="207"/>
      <c r="G63" s="207"/>
      <c r="H63" s="207"/>
      <c r="I63" s="208"/>
      <c r="J63" s="8"/>
      <c r="K63" s="8"/>
      <c r="L63" s="8"/>
    </row>
    <row r="64" spans="1:12">
      <c r="A64" s="209"/>
      <c r="B64" s="210"/>
      <c r="C64" s="210"/>
      <c r="D64" s="210"/>
      <c r="E64" s="210"/>
      <c r="F64" s="210"/>
      <c r="G64" s="210"/>
      <c r="H64" s="210"/>
      <c r="I64" s="211"/>
      <c r="J64" s="8"/>
      <c r="K64" s="8"/>
      <c r="L64" s="8"/>
    </row>
    <row r="65" spans="1:12">
      <c r="A65" s="196" t="s">
        <v>40</v>
      </c>
      <c r="B65" s="196" t="s">
        <v>61</v>
      </c>
      <c r="C65" s="196" t="s">
        <v>62</v>
      </c>
      <c r="D65" s="196" t="s">
        <v>63</v>
      </c>
      <c r="E65" s="196" t="s">
        <v>64</v>
      </c>
      <c r="F65" s="196" t="s">
        <v>65</v>
      </c>
      <c r="G65" s="213" t="s">
        <v>66</v>
      </c>
      <c r="H65" s="196" t="s">
        <v>47</v>
      </c>
      <c r="I65" s="196" t="s">
        <v>67</v>
      </c>
      <c r="J65" s="8"/>
      <c r="K65" s="8"/>
      <c r="L65" s="8"/>
    </row>
    <row r="66" spans="1:12">
      <c r="A66" s="196"/>
      <c r="B66" s="196"/>
      <c r="C66" s="196"/>
      <c r="D66" s="196"/>
      <c r="E66" s="196"/>
      <c r="F66" s="196"/>
      <c r="G66" s="213"/>
      <c r="H66" s="196"/>
      <c r="I66" s="196"/>
      <c r="J66" s="8"/>
      <c r="K66" s="8"/>
      <c r="L66" s="8"/>
    </row>
    <row r="67" spans="1:12">
      <c r="A67" s="196"/>
      <c r="B67" s="196"/>
      <c r="C67" s="196"/>
      <c r="D67" s="196"/>
      <c r="E67" s="196"/>
      <c r="F67" s="196"/>
      <c r="G67" s="213"/>
      <c r="H67" s="196"/>
      <c r="I67" s="196"/>
      <c r="J67" s="8"/>
      <c r="K67" s="8"/>
      <c r="L67" s="8"/>
    </row>
    <row r="68" spans="1:12">
      <c r="A68" s="197"/>
      <c r="B68" s="197"/>
      <c r="C68" s="197"/>
      <c r="D68" s="197"/>
      <c r="E68" s="197"/>
      <c r="F68" s="197"/>
      <c r="G68" s="214"/>
      <c r="H68" s="197"/>
      <c r="I68" s="197"/>
      <c r="J68" s="8"/>
      <c r="K68" s="8"/>
      <c r="L68" s="8"/>
    </row>
    <row r="69" spans="1:12">
      <c r="A69" s="2" t="s">
        <v>68</v>
      </c>
      <c r="B69" s="216" t="s">
        <v>69</v>
      </c>
      <c r="C69" s="216"/>
      <c r="D69" s="216"/>
      <c r="E69" s="216"/>
      <c r="F69" s="216"/>
      <c r="G69" s="216"/>
      <c r="H69" s="216"/>
      <c r="I69" s="10">
        <f>SUM(I70:I71)</f>
        <v>18890.718749999996</v>
      </c>
      <c r="J69" s="11"/>
      <c r="K69" s="11"/>
      <c r="L69" s="11"/>
    </row>
    <row r="70" spans="1:12">
      <c r="A70" s="3">
        <v>1</v>
      </c>
      <c r="B70" s="12" t="s">
        <v>70</v>
      </c>
      <c r="C70" s="12">
        <v>525</v>
      </c>
      <c r="D70" s="13">
        <v>8.9999999999999993E-3</v>
      </c>
      <c r="E70" s="14">
        <v>0.85</v>
      </c>
      <c r="F70" s="15">
        <v>1</v>
      </c>
      <c r="G70" s="16">
        <f t="shared" ref="G70:G80" si="20">C70*D70*E70*F70</f>
        <v>4.0162499999999994</v>
      </c>
      <c r="H70" s="17">
        <v>3951</v>
      </c>
      <c r="I70" s="17">
        <f t="shared" ref="I70:I71" si="21">G70*H70</f>
        <v>15868.203749999997</v>
      </c>
      <c r="J70" s="18"/>
      <c r="K70" s="18"/>
      <c r="L70" s="18"/>
    </row>
    <row r="71" spans="1:12">
      <c r="A71" s="3">
        <v>2</v>
      </c>
      <c r="B71" s="12" t="s">
        <v>71</v>
      </c>
      <c r="C71" s="12">
        <v>60</v>
      </c>
      <c r="D71" s="13">
        <v>1.4999999999999999E-2</v>
      </c>
      <c r="E71" s="14">
        <v>0.85</v>
      </c>
      <c r="F71" s="15">
        <v>1</v>
      </c>
      <c r="G71" s="16">
        <f t="shared" si="20"/>
        <v>0.7649999999999999</v>
      </c>
      <c r="H71" s="17">
        <v>3951</v>
      </c>
      <c r="I71" s="17">
        <f t="shared" si="21"/>
        <v>3022.5149999999994</v>
      </c>
      <c r="J71" s="18"/>
      <c r="K71" s="18"/>
      <c r="L71" s="18"/>
    </row>
    <row r="72" spans="1:12">
      <c r="A72" s="2" t="s">
        <v>72</v>
      </c>
      <c r="B72" s="216" t="s">
        <v>73</v>
      </c>
      <c r="C72" s="216"/>
      <c r="D72" s="216"/>
      <c r="E72" s="216"/>
      <c r="F72" s="216"/>
      <c r="G72" s="216"/>
      <c r="H72" s="216"/>
      <c r="I72" s="10">
        <f>SUM(I73:I74)</f>
        <v>198142.65</v>
      </c>
      <c r="J72" s="11"/>
      <c r="K72" s="11"/>
      <c r="L72" s="11"/>
    </row>
    <row r="73" spans="1:12">
      <c r="A73" s="3">
        <v>1</v>
      </c>
      <c r="B73" s="12" t="s">
        <v>74</v>
      </c>
      <c r="C73" s="12">
        <v>2</v>
      </c>
      <c r="D73" s="13">
        <v>18.5</v>
      </c>
      <c r="E73" s="14">
        <v>0.85</v>
      </c>
      <c r="F73" s="15">
        <v>1</v>
      </c>
      <c r="G73" s="16">
        <f t="shared" si="20"/>
        <v>31.45</v>
      </c>
      <c r="H73" s="17">
        <v>3951</v>
      </c>
      <c r="I73" s="17">
        <f t="shared" ref="I73:I80" si="22">G73*H73</f>
        <v>124258.95</v>
      </c>
      <c r="J73" s="18"/>
      <c r="K73" s="18"/>
      <c r="L73" s="18"/>
    </row>
    <row r="74" spans="1:12">
      <c r="A74" s="3">
        <v>2</v>
      </c>
      <c r="B74" s="12" t="s">
        <v>75</v>
      </c>
      <c r="C74" s="12">
        <v>2</v>
      </c>
      <c r="D74" s="13">
        <v>11</v>
      </c>
      <c r="E74" s="14">
        <v>0.85</v>
      </c>
      <c r="F74" s="15">
        <v>1</v>
      </c>
      <c r="G74" s="16">
        <f t="shared" si="20"/>
        <v>18.7</v>
      </c>
      <c r="H74" s="17">
        <v>3951</v>
      </c>
      <c r="I74" s="17">
        <f t="shared" si="22"/>
        <v>73883.7</v>
      </c>
      <c r="J74" s="18"/>
      <c r="K74" s="18"/>
      <c r="L74" s="18"/>
    </row>
    <row r="75" spans="1:12">
      <c r="A75" s="2" t="s">
        <v>76</v>
      </c>
      <c r="B75" s="19" t="s">
        <v>77</v>
      </c>
      <c r="C75" s="19"/>
      <c r="D75" s="9"/>
      <c r="E75" s="20"/>
      <c r="F75" s="21"/>
      <c r="G75" s="22"/>
      <c r="H75" s="10"/>
      <c r="I75" s="10">
        <f>I76</f>
        <v>136013.17499999999</v>
      </c>
      <c r="J75" s="18"/>
      <c r="K75" s="18"/>
      <c r="L75" s="18"/>
    </row>
    <row r="76" spans="1:12">
      <c r="A76" s="3">
        <v>1</v>
      </c>
      <c r="B76" s="23" t="s">
        <v>78</v>
      </c>
      <c r="C76" s="23">
        <v>1</v>
      </c>
      <c r="D76" s="13">
        <v>40.5</v>
      </c>
      <c r="E76" s="14">
        <v>0.85</v>
      </c>
      <c r="F76" s="15">
        <v>1</v>
      </c>
      <c r="G76" s="16">
        <f t="shared" si="20"/>
        <v>34.424999999999997</v>
      </c>
      <c r="H76" s="17">
        <v>3951</v>
      </c>
      <c r="I76" s="17">
        <f t="shared" si="22"/>
        <v>136013.17499999999</v>
      </c>
      <c r="J76" s="18"/>
      <c r="K76" s="18"/>
      <c r="L76" s="18"/>
    </row>
    <row r="77" spans="1:12">
      <c r="A77" s="2" t="s">
        <v>79</v>
      </c>
      <c r="B77" s="216" t="s">
        <v>80</v>
      </c>
      <c r="C77" s="216"/>
      <c r="D77" s="216"/>
      <c r="E77" s="216"/>
      <c r="F77" s="216"/>
      <c r="G77" s="216"/>
      <c r="H77" s="216"/>
      <c r="I77" s="10">
        <f>SUM(I78:I80)</f>
        <v>61675.11</v>
      </c>
      <c r="J77" s="11"/>
      <c r="K77" s="11"/>
      <c r="L77" s="11"/>
    </row>
    <row r="78" spans="1:12">
      <c r="A78" s="3">
        <v>1</v>
      </c>
      <c r="B78" s="12" t="s">
        <v>81</v>
      </c>
      <c r="C78" s="12">
        <v>2</v>
      </c>
      <c r="D78" s="13">
        <v>7.5</v>
      </c>
      <c r="E78" s="14">
        <v>0.35</v>
      </c>
      <c r="F78" s="15">
        <v>1</v>
      </c>
      <c r="G78" s="16">
        <f t="shared" si="20"/>
        <v>5.25</v>
      </c>
      <c r="H78" s="17">
        <v>3951</v>
      </c>
      <c r="I78" s="17">
        <f t="shared" si="22"/>
        <v>20742.75</v>
      </c>
      <c r="J78" s="18"/>
      <c r="K78" s="18"/>
      <c r="L78" s="18"/>
    </row>
    <row r="79" spans="1:12">
      <c r="A79" s="3">
        <v>2</v>
      </c>
      <c r="B79" s="12" t="s">
        <v>82</v>
      </c>
      <c r="C79" s="12">
        <v>1</v>
      </c>
      <c r="D79" s="13">
        <v>13.4</v>
      </c>
      <c r="E79" s="14">
        <v>0</v>
      </c>
      <c r="F79" s="15">
        <v>1</v>
      </c>
      <c r="G79" s="16">
        <f t="shared" si="20"/>
        <v>0</v>
      </c>
      <c r="H79" s="17">
        <v>3951</v>
      </c>
      <c r="I79" s="17">
        <f t="shared" si="22"/>
        <v>0</v>
      </c>
      <c r="J79" s="18"/>
      <c r="K79" s="18"/>
      <c r="L79" s="18"/>
    </row>
    <row r="80" spans="1:12">
      <c r="A80" s="3">
        <v>3</v>
      </c>
      <c r="B80" s="12" t="s">
        <v>80</v>
      </c>
      <c r="C80" s="12">
        <v>2</v>
      </c>
      <c r="D80" s="13">
        <v>14.8</v>
      </c>
      <c r="E80" s="14">
        <v>0.35</v>
      </c>
      <c r="F80" s="15">
        <v>1</v>
      </c>
      <c r="G80" s="16">
        <f t="shared" si="20"/>
        <v>10.36</v>
      </c>
      <c r="H80" s="17">
        <v>3951</v>
      </c>
      <c r="I80" s="17">
        <f t="shared" si="22"/>
        <v>40932.36</v>
      </c>
      <c r="J80" s="18"/>
      <c r="K80" s="18"/>
      <c r="L80" s="18"/>
    </row>
    <row r="81" spans="1:12">
      <c r="A81" s="24" t="s">
        <v>83</v>
      </c>
      <c r="B81" s="25" t="s">
        <v>84</v>
      </c>
      <c r="C81" s="26"/>
      <c r="D81" s="26"/>
      <c r="E81" s="26"/>
      <c r="F81" s="26"/>
      <c r="G81" s="27"/>
      <c r="H81" s="26"/>
      <c r="I81" s="28">
        <f>SUM(I82:I99)</f>
        <v>1603974.8267999997</v>
      </c>
      <c r="J81" s="8"/>
      <c r="K81" s="8"/>
      <c r="L81" s="8"/>
    </row>
    <row r="82" spans="1:12">
      <c r="A82" s="3">
        <v>1</v>
      </c>
      <c r="B82" s="29" t="s">
        <v>85</v>
      </c>
      <c r="C82" s="29">
        <v>1</v>
      </c>
      <c r="D82" s="14">
        <v>211</v>
      </c>
      <c r="E82" s="14">
        <v>0.85</v>
      </c>
      <c r="F82" s="14">
        <v>1.2</v>
      </c>
      <c r="G82" s="30">
        <f>C82*D82*E82*F82</f>
        <v>215.22</v>
      </c>
      <c r="H82" s="17">
        <v>3951</v>
      </c>
      <c r="I82" s="17">
        <f>G82*H82</f>
        <v>850334.22</v>
      </c>
      <c r="J82" s="8"/>
      <c r="K82" s="8"/>
      <c r="L82" s="8"/>
    </row>
    <row r="83" spans="1:12">
      <c r="A83" s="3">
        <v>2</v>
      </c>
      <c r="B83" s="29" t="s">
        <v>86</v>
      </c>
      <c r="C83" s="29">
        <v>1</v>
      </c>
      <c r="D83" s="14">
        <v>37</v>
      </c>
      <c r="E83" s="14">
        <v>0.85</v>
      </c>
      <c r="F83" s="14">
        <v>1</v>
      </c>
      <c r="G83" s="30">
        <f t="shared" ref="G83:G99" si="23">C83*D83*E83*F83</f>
        <v>31.45</v>
      </c>
      <c r="H83" s="17">
        <v>3951</v>
      </c>
      <c r="I83" s="17">
        <f>G83*H83</f>
        <v>124258.95</v>
      </c>
      <c r="J83" s="8"/>
      <c r="K83" s="8"/>
      <c r="L83" s="8"/>
    </row>
    <row r="84" spans="1:12">
      <c r="A84" s="3">
        <v>3</v>
      </c>
      <c r="B84" s="29" t="s">
        <v>87</v>
      </c>
      <c r="C84" s="29">
        <v>1</v>
      </c>
      <c r="D84" s="14">
        <v>30</v>
      </c>
      <c r="E84" s="14">
        <v>0.85</v>
      </c>
      <c r="F84" s="14">
        <v>1</v>
      </c>
      <c r="G84" s="30">
        <f t="shared" si="23"/>
        <v>25.5</v>
      </c>
      <c r="H84" s="17">
        <v>3951</v>
      </c>
      <c r="I84" s="17">
        <f t="shared" ref="I84:I99" si="24">G84*H84</f>
        <v>100750.5</v>
      </c>
      <c r="J84" s="8"/>
      <c r="K84" s="8"/>
      <c r="L84" s="8"/>
    </row>
    <row r="85" spans="1:12">
      <c r="A85" s="3">
        <v>4</v>
      </c>
      <c r="B85" s="29" t="s">
        <v>88</v>
      </c>
      <c r="C85" s="29">
        <v>1</v>
      </c>
      <c r="D85" s="14">
        <v>30</v>
      </c>
      <c r="E85" s="14">
        <v>0.85</v>
      </c>
      <c r="F85" s="14">
        <v>1</v>
      </c>
      <c r="G85" s="30">
        <f t="shared" si="23"/>
        <v>25.5</v>
      </c>
      <c r="H85" s="17">
        <v>3951</v>
      </c>
      <c r="I85" s="17">
        <f t="shared" si="24"/>
        <v>100750.5</v>
      </c>
      <c r="J85" s="8"/>
      <c r="K85" s="8"/>
      <c r="L85" s="8"/>
    </row>
    <row r="86" spans="1:12">
      <c r="A86" s="3">
        <v>5</v>
      </c>
      <c r="B86" s="29" t="s">
        <v>89</v>
      </c>
      <c r="C86" s="29">
        <v>1</v>
      </c>
      <c r="D86" s="14">
        <v>55</v>
      </c>
      <c r="E86" s="14">
        <v>0.85</v>
      </c>
      <c r="F86" s="14">
        <v>1</v>
      </c>
      <c r="G86" s="30">
        <f t="shared" si="23"/>
        <v>46.75</v>
      </c>
      <c r="H86" s="17">
        <v>3951</v>
      </c>
      <c r="I86" s="17">
        <f t="shared" si="24"/>
        <v>184709.25</v>
      </c>
      <c r="J86" s="8"/>
      <c r="K86" s="8"/>
      <c r="L86" s="8"/>
    </row>
    <row r="87" spans="1:12">
      <c r="A87" s="3">
        <v>6</v>
      </c>
      <c r="B87" s="29" t="s">
        <v>90</v>
      </c>
      <c r="C87" s="29">
        <v>3</v>
      </c>
      <c r="D87" s="14">
        <v>15</v>
      </c>
      <c r="E87" s="14">
        <v>0.85</v>
      </c>
      <c r="F87" s="14">
        <v>1</v>
      </c>
      <c r="G87" s="30">
        <f t="shared" si="23"/>
        <v>38.25</v>
      </c>
      <c r="H87" s="17">
        <v>3951</v>
      </c>
      <c r="I87" s="17">
        <f t="shared" si="24"/>
        <v>151125.75</v>
      </c>
      <c r="J87" s="8"/>
      <c r="K87" s="8"/>
      <c r="L87" s="8"/>
    </row>
    <row r="88" spans="1:12">
      <c r="A88" s="3">
        <v>7</v>
      </c>
      <c r="B88" s="29" t="s">
        <v>91</v>
      </c>
      <c r="C88" s="29">
        <v>1</v>
      </c>
      <c r="D88" s="14">
        <v>2.2000000000000002</v>
      </c>
      <c r="E88" s="14">
        <v>0.85</v>
      </c>
      <c r="F88" s="14">
        <v>1</v>
      </c>
      <c r="G88" s="30">
        <f t="shared" si="23"/>
        <v>1.87</v>
      </c>
      <c r="H88" s="17">
        <v>3951</v>
      </c>
      <c r="I88" s="17">
        <f t="shared" si="24"/>
        <v>7388.3700000000008</v>
      </c>
      <c r="J88" s="8"/>
      <c r="K88" s="8"/>
      <c r="L88" s="8"/>
    </row>
    <row r="89" spans="1:12">
      <c r="A89" s="3">
        <v>8</v>
      </c>
      <c r="B89" s="12" t="s">
        <v>92</v>
      </c>
      <c r="C89" s="12">
        <v>6</v>
      </c>
      <c r="D89" s="13">
        <v>0.10299999999999999</v>
      </c>
      <c r="E89" s="14">
        <v>0.85</v>
      </c>
      <c r="F89" s="14">
        <v>1</v>
      </c>
      <c r="G89" s="31">
        <f>C89*D89*E89*F89</f>
        <v>0.52529999999999999</v>
      </c>
      <c r="H89" s="17">
        <v>3951</v>
      </c>
      <c r="I89" s="17">
        <f t="shared" si="24"/>
        <v>2075.4602999999997</v>
      </c>
      <c r="J89" s="8"/>
      <c r="K89" s="8"/>
      <c r="L89" s="8"/>
    </row>
    <row r="90" spans="1:12">
      <c r="A90" s="3">
        <v>9</v>
      </c>
      <c r="B90" s="12" t="s">
        <v>93</v>
      </c>
      <c r="C90" s="12">
        <v>1</v>
      </c>
      <c r="D90" s="13">
        <v>0.76900000000000002</v>
      </c>
      <c r="E90" s="14">
        <v>0.85</v>
      </c>
      <c r="F90" s="14">
        <v>1</v>
      </c>
      <c r="G90" s="31">
        <f t="shared" si="23"/>
        <v>0.65364999999999995</v>
      </c>
      <c r="H90" s="17">
        <v>3951</v>
      </c>
      <c r="I90" s="17">
        <f t="shared" si="24"/>
        <v>2582.5711499999998</v>
      </c>
      <c r="J90" s="8"/>
      <c r="K90" s="8"/>
      <c r="L90" s="8"/>
    </row>
    <row r="91" spans="1:12">
      <c r="A91" s="3">
        <v>10</v>
      </c>
      <c r="B91" s="12" t="s">
        <v>94</v>
      </c>
      <c r="C91" s="12">
        <v>2</v>
      </c>
      <c r="D91" s="13">
        <v>0.122</v>
      </c>
      <c r="E91" s="14">
        <v>0.85</v>
      </c>
      <c r="F91" s="14">
        <v>1</v>
      </c>
      <c r="G91" s="31">
        <f t="shared" si="23"/>
        <v>0.2074</v>
      </c>
      <c r="H91" s="17">
        <v>3951</v>
      </c>
      <c r="I91" s="17">
        <f t="shared" si="24"/>
        <v>819.43740000000003</v>
      </c>
      <c r="J91" s="8"/>
      <c r="K91" s="8"/>
      <c r="L91" s="8"/>
    </row>
    <row r="92" spans="1:12">
      <c r="A92" s="3">
        <v>11</v>
      </c>
      <c r="B92" s="12" t="s">
        <v>95</v>
      </c>
      <c r="C92" s="12">
        <v>5</v>
      </c>
      <c r="D92" s="13">
        <v>0.28000000000000003</v>
      </c>
      <c r="E92" s="14">
        <v>0.85</v>
      </c>
      <c r="F92" s="14">
        <v>1</v>
      </c>
      <c r="G92" s="31">
        <f t="shared" si="23"/>
        <v>1.1900000000000002</v>
      </c>
      <c r="H92" s="17">
        <v>3951</v>
      </c>
      <c r="I92" s="17">
        <f t="shared" si="24"/>
        <v>4701.6900000000005</v>
      </c>
      <c r="J92" s="8"/>
      <c r="K92" s="8"/>
      <c r="L92" s="8"/>
    </row>
    <row r="93" spans="1:12">
      <c r="A93" s="3">
        <v>12</v>
      </c>
      <c r="B93" s="12" t="s">
        <v>96</v>
      </c>
      <c r="C93" s="12">
        <v>4</v>
      </c>
      <c r="D93" s="13">
        <v>0.28000000000000003</v>
      </c>
      <c r="E93" s="14">
        <v>0.85</v>
      </c>
      <c r="F93" s="14">
        <v>1</v>
      </c>
      <c r="G93" s="31">
        <f t="shared" si="23"/>
        <v>0.95200000000000007</v>
      </c>
      <c r="H93" s="17">
        <v>3951</v>
      </c>
      <c r="I93" s="17">
        <f t="shared" si="24"/>
        <v>3761.3520000000003</v>
      </c>
      <c r="J93" s="8"/>
      <c r="K93" s="8"/>
      <c r="L93" s="8"/>
    </row>
    <row r="94" spans="1:12">
      <c r="A94" s="3">
        <v>13</v>
      </c>
      <c r="B94" s="12" t="s">
        <v>97</v>
      </c>
      <c r="C94" s="12">
        <v>2</v>
      </c>
      <c r="D94" s="13">
        <v>0.76900000000000002</v>
      </c>
      <c r="E94" s="14">
        <v>0.85</v>
      </c>
      <c r="F94" s="14">
        <v>1</v>
      </c>
      <c r="G94" s="31">
        <f t="shared" si="23"/>
        <v>1.3072999999999999</v>
      </c>
      <c r="H94" s="17">
        <v>3951</v>
      </c>
      <c r="I94" s="17">
        <f t="shared" si="24"/>
        <v>5165.1422999999995</v>
      </c>
      <c r="J94" s="8"/>
      <c r="K94" s="8"/>
      <c r="L94" s="8"/>
    </row>
    <row r="95" spans="1:12">
      <c r="A95" s="3">
        <v>14</v>
      </c>
      <c r="B95" s="12" t="s">
        <v>98</v>
      </c>
      <c r="C95" s="12">
        <v>1</v>
      </c>
      <c r="D95" s="13">
        <v>0.53100000000000003</v>
      </c>
      <c r="E95" s="14">
        <v>0.85</v>
      </c>
      <c r="F95" s="14">
        <v>1</v>
      </c>
      <c r="G95" s="31">
        <f t="shared" si="23"/>
        <v>0.45135000000000003</v>
      </c>
      <c r="H95" s="17">
        <v>3951</v>
      </c>
      <c r="I95" s="17">
        <f t="shared" si="24"/>
        <v>1783.28385</v>
      </c>
      <c r="J95" s="8"/>
      <c r="K95" s="8"/>
      <c r="L95" s="8"/>
    </row>
    <row r="96" spans="1:12">
      <c r="A96" s="3">
        <v>15</v>
      </c>
      <c r="B96" s="12" t="s">
        <v>99</v>
      </c>
      <c r="C96" s="12">
        <v>6</v>
      </c>
      <c r="D96" s="13">
        <v>0.28000000000000003</v>
      </c>
      <c r="E96" s="14">
        <v>0.85</v>
      </c>
      <c r="F96" s="14">
        <v>1</v>
      </c>
      <c r="G96" s="31">
        <f t="shared" si="23"/>
        <v>1.4280000000000002</v>
      </c>
      <c r="H96" s="17">
        <v>3951</v>
      </c>
      <c r="I96" s="17">
        <f t="shared" si="24"/>
        <v>5642.0280000000002</v>
      </c>
      <c r="J96" s="8"/>
      <c r="K96" s="8"/>
      <c r="L96" s="8"/>
    </row>
    <row r="97" spans="1:12">
      <c r="A97" s="3">
        <v>16</v>
      </c>
      <c r="B97" s="12" t="s">
        <v>100</v>
      </c>
      <c r="C97" s="12">
        <v>6</v>
      </c>
      <c r="D97" s="13">
        <v>0.53100000000000003</v>
      </c>
      <c r="E97" s="14">
        <v>0.85</v>
      </c>
      <c r="F97" s="14">
        <v>1</v>
      </c>
      <c r="G97" s="31">
        <f t="shared" si="23"/>
        <v>2.7081</v>
      </c>
      <c r="H97" s="17">
        <v>3951</v>
      </c>
      <c r="I97" s="17">
        <f t="shared" si="24"/>
        <v>10699.703100000001</v>
      </c>
      <c r="J97" s="8"/>
      <c r="K97" s="8"/>
      <c r="L97" s="8"/>
    </row>
    <row r="98" spans="1:12">
      <c r="A98" s="3">
        <v>17</v>
      </c>
      <c r="B98" s="12" t="s">
        <v>101</v>
      </c>
      <c r="C98" s="12">
        <v>18</v>
      </c>
      <c r="D98" s="13">
        <v>0.76900000000000002</v>
      </c>
      <c r="E98" s="14">
        <v>0.85</v>
      </c>
      <c r="F98" s="14">
        <v>1</v>
      </c>
      <c r="G98" s="31">
        <f t="shared" si="23"/>
        <v>11.765700000000001</v>
      </c>
      <c r="H98" s="17">
        <v>3951</v>
      </c>
      <c r="I98" s="17">
        <f t="shared" si="24"/>
        <v>46486.280700000003</v>
      </c>
      <c r="J98" s="18"/>
      <c r="K98" s="18"/>
      <c r="L98" s="18"/>
    </row>
    <row r="99" spans="1:12">
      <c r="A99" s="3">
        <v>18</v>
      </c>
      <c r="B99" s="12" t="s">
        <v>102</v>
      </c>
      <c r="C99" s="32">
        <v>1</v>
      </c>
      <c r="D99" s="13">
        <v>0.28000000000000003</v>
      </c>
      <c r="E99" s="14">
        <v>0.85</v>
      </c>
      <c r="F99" s="14">
        <v>1</v>
      </c>
      <c r="G99" s="31">
        <f t="shared" si="23"/>
        <v>0.23800000000000002</v>
      </c>
      <c r="H99" s="17">
        <v>3951</v>
      </c>
      <c r="I99" s="17">
        <f t="shared" si="24"/>
        <v>940.33800000000008</v>
      </c>
      <c r="J99" s="18"/>
      <c r="K99" s="18"/>
      <c r="L99" s="18"/>
    </row>
    <row r="100" spans="1:12" ht="55.15">
      <c r="A100" s="33"/>
      <c r="B100" s="20" t="s">
        <v>103</v>
      </c>
      <c r="C100" s="20" t="s">
        <v>104</v>
      </c>
      <c r="D100" s="20" t="s">
        <v>105</v>
      </c>
      <c r="E100" s="20" t="s">
        <v>106</v>
      </c>
      <c r="F100" s="20" t="s">
        <v>65</v>
      </c>
      <c r="G100" s="10" t="s">
        <v>107</v>
      </c>
      <c r="H100" s="20" t="s">
        <v>47</v>
      </c>
      <c r="I100" s="20" t="s">
        <v>67</v>
      </c>
      <c r="J100" s="34"/>
      <c r="K100" s="34"/>
      <c r="L100" s="34"/>
    </row>
    <row r="101" spans="1:12">
      <c r="A101" s="1">
        <v>1</v>
      </c>
      <c r="B101" s="35" t="s">
        <v>108</v>
      </c>
      <c r="C101" s="32">
        <v>1</v>
      </c>
      <c r="D101" s="32">
        <v>388</v>
      </c>
      <c r="E101" s="32">
        <v>1</v>
      </c>
      <c r="F101" s="32">
        <v>1</v>
      </c>
      <c r="G101" s="36">
        <f>D101*F101*E101*C101*1%</f>
        <v>3.88</v>
      </c>
      <c r="H101" s="37">
        <v>31900</v>
      </c>
      <c r="I101" s="37">
        <f>G101*H101</f>
        <v>123772</v>
      </c>
      <c r="J101" s="38"/>
      <c r="K101" s="8"/>
      <c r="L101" s="8"/>
    </row>
    <row r="102" spans="1:12">
      <c r="A102" s="2" t="s">
        <v>109</v>
      </c>
      <c r="B102" s="20" t="s">
        <v>110</v>
      </c>
      <c r="C102" s="33"/>
      <c r="D102" s="20"/>
      <c r="E102" s="33"/>
      <c r="F102" s="20"/>
      <c r="G102" s="33"/>
      <c r="H102" s="20"/>
      <c r="I102" s="39">
        <f>I101</f>
        <v>123772</v>
      </c>
      <c r="J102" s="8"/>
      <c r="K102" s="8"/>
      <c r="L102" s="8"/>
    </row>
    <row r="103" spans="1:12">
      <c r="A103" s="173" t="s">
        <v>111</v>
      </c>
      <c r="B103" s="174"/>
      <c r="C103" s="174"/>
      <c r="D103" s="174"/>
      <c r="E103" s="174"/>
      <c r="F103" s="174"/>
      <c r="G103" s="174"/>
      <c r="H103" s="175"/>
      <c r="I103" s="40">
        <f>I102+I81+I77+I75+I72+I69</f>
        <v>2142468.48055</v>
      </c>
      <c r="J103" s="34"/>
      <c r="K103" s="34"/>
      <c r="L103" s="34"/>
    </row>
    <row r="104" spans="1:12">
      <c r="A104" s="173" t="s">
        <v>112</v>
      </c>
      <c r="B104" s="174"/>
      <c r="C104" s="174"/>
      <c r="D104" s="174"/>
      <c r="E104" s="174"/>
      <c r="F104" s="174"/>
      <c r="G104" s="174"/>
      <c r="H104" s="175"/>
      <c r="I104" s="40">
        <f>I103*17%</f>
        <v>364219.64169350005</v>
      </c>
      <c r="J104" s="41">
        <v>0.17</v>
      </c>
      <c r="K104" s="34"/>
      <c r="L104" s="34"/>
    </row>
    <row r="105" spans="1:12">
      <c r="A105" s="173" t="s">
        <v>113</v>
      </c>
      <c r="B105" s="174"/>
      <c r="C105" s="174"/>
      <c r="D105" s="174"/>
      <c r="E105" s="174"/>
      <c r="F105" s="174"/>
      <c r="G105" s="174"/>
      <c r="H105" s="175"/>
      <c r="I105" s="40">
        <f>I104+I103</f>
        <v>2506688.1222434998</v>
      </c>
      <c r="J105" s="194" t="s">
        <v>114</v>
      </c>
      <c r="K105" s="42" t="str">
        <f>K106</f>
        <v>=</v>
      </c>
      <c r="L105" s="43">
        <v>2500000</v>
      </c>
    </row>
    <row r="106" spans="1:12">
      <c r="A106" s="193" t="s">
        <v>115</v>
      </c>
      <c r="B106" s="193"/>
      <c r="C106" s="193"/>
      <c r="D106" s="193"/>
      <c r="E106" s="193"/>
      <c r="F106" s="193"/>
      <c r="G106" s="193"/>
      <c r="H106" s="193"/>
      <c r="I106" s="40">
        <f>(I103-I102-I81)*117%</f>
        <v>485224.33488750033</v>
      </c>
      <c r="J106" s="195"/>
      <c r="K106" s="42" t="s">
        <v>116</v>
      </c>
      <c r="L106" s="43">
        <v>500000</v>
      </c>
    </row>
    <row r="107" spans="1:12">
      <c r="A107" s="173" t="s">
        <v>117</v>
      </c>
      <c r="B107" s="174"/>
      <c r="C107" s="174"/>
      <c r="D107" s="174"/>
      <c r="E107" s="174"/>
      <c r="F107" s="174"/>
      <c r="G107" s="174"/>
      <c r="H107" s="175"/>
      <c r="I107" s="40">
        <v>22102</v>
      </c>
      <c r="J107" s="195"/>
      <c r="K107" s="42" t="s">
        <v>116</v>
      </c>
      <c r="L107" s="43">
        <v>22000</v>
      </c>
    </row>
    <row r="108" spans="1:12">
      <c r="A108" s="173" t="s">
        <v>118</v>
      </c>
      <c r="B108" s="174"/>
      <c r="C108" s="174"/>
      <c r="D108" s="174"/>
      <c r="E108" s="174"/>
      <c r="F108" s="174"/>
      <c r="G108" s="174"/>
      <c r="H108" s="175"/>
      <c r="I108" s="40">
        <v>231827</v>
      </c>
      <c r="J108" s="195"/>
      <c r="K108" s="42" t="s">
        <v>116</v>
      </c>
      <c r="L108" s="43">
        <v>230000</v>
      </c>
    </row>
    <row r="109" spans="1:12">
      <c r="A109" s="173" t="s">
        <v>119</v>
      </c>
      <c r="B109" s="174"/>
      <c r="C109" s="174"/>
      <c r="D109" s="174"/>
      <c r="E109" s="174"/>
      <c r="F109" s="174"/>
      <c r="G109" s="174"/>
      <c r="H109" s="175"/>
      <c r="I109" s="40">
        <v>159135</v>
      </c>
      <c r="J109" s="195"/>
      <c r="K109" s="42" t="s">
        <v>116</v>
      </c>
      <c r="L109" s="43">
        <v>160000</v>
      </c>
    </row>
    <row r="110" spans="1:12">
      <c r="A110" s="173" t="s">
        <v>120</v>
      </c>
      <c r="B110" s="174"/>
      <c r="C110" s="174"/>
      <c r="D110" s="174"/>
      <c r="E110" s="174"/>
      <c r="F110" s="174"/>
      <c r="G110" s="174"/>
      <c r="H110" s="175"/>
      <c r="I110" s="40">
        <v>72160</v>
      </c>
      <c r="J110" s="195"/>
      <c r="K110" s="42" t="s">
        <v>116</v>
      </c>
      <c r="L110" s="43">
        <v>75000</v>
      </c>
    </row>
    <row r="113" spans="1:12" ht="15.6" customHeight="1">
      <c r="A113" s="176" t="s">
        <v>121</v>
      </c>
      <c r="B113" s="177"/>
      <c r="C113" s="177"/>
      <c r="D113" s="177"/>
      <c r="E113" s="177"/>
      <c r="F113" s="177"/>
      <c r="G113" s="177"/>
      <c r="H113" s="177"/>
      <c r="I113" s="178"/>
      <c r="J113" s="58"/>
      <c r="K113" s="58"/>
      <c r="L113" s="58"/>
    </row>
    <row r="114" spans="1:12">
      <c r="A114" s="179"/>
      <c r="B114" s="180"/>
      <c r="C114" s="180"/>
      <c r="D114" s="180"/>
      <c r="E114" s="180"/>
      <c r="F114" s="180"/>
      <c r="G114" s="180"/>
      <c r="H114" s="180"/>
      <c r="I114" s="181"/>
    </row>
    <row r="115" spans="1:12">
      <c r="A115" s="182" t="s">
        <v>40</v>
      </c>
      <c r="B115" s="182" t="s">
        <v>61</v>
      </c>
      <c r="C115" s="182" t="s">
        <v>62</v>
      </c>
      <c r="D115" s="182" t="s">
        <v>63</v>
      </c>
      <c r="E115" s="182" t="s">
        <v>106</v>
      </c>
      <c r="F115" s="182" t="s">
        <v>65</v>
      </c>
      <c r="G115" s="190" t="s">
        <v>66</v>
      </c>
      <c r="H115" s="182" t="s">
        <v>47</v>
      </c>
      <c r="I115" s="182" t="s">
        <v>67</v>
      </c>
    </row>
    <row r="116" spans="1:12">
      <c r="A116" s="182"/>
      <c r="B116" s="182"/>
      <c r="C116" s="182"/>
      <c r="D116" s="182"/>
      <c r="E116" s="182"/>
      <c r="F116" s="182"/>
      <c r="G116" s="190"/>
      <c r="H116" s="182"/>
      <c r="I116" s="182"/>
    </row>
    <row r="117" spans="1:12">
      <c r="A117" s="182"/>
      <c r="B117" s="182"/>
      <c r="C117" s="182"/>
      <c r="D117" s="182"/>
      <c r="E117" s="182"/>
      <c r="F117" s="182"/>
      <c r="G117" s="190"/>
      <c r="H117" s="182"/>
      <c r="I117" s="182"/>
    </row>
    <row r="118" spans="1:12">
      <c r="A118" s="183"/>
      <c r="B118" s="183"/>
      <c r="C118" s="183"/>
      <c r="D118" s="183"/>
      <c r="E118" s="183"/>
      <c r="F118" s="183"/>
      <c r="G118" s="191"/>
      <c r="H118" s="183"/>
      <c r="I118" s="183"/>
    </row>
    <row r="119" spans="1:12">
      <c r="A119" s="59" t="s">
        <v>68</v>
      </c>
      <c r="B119" s="172" t="s">
        <v>69</v>
      </c>
      <c r="C119" s="172"/>
      <c r="D119" s="172"/>
      <c r="E119" s="172"/>
      <c r="F119" s="172"/>
      <c r="G119" s="172"/>
      <c r="H119" s="172"/>
      <c r="I119" s="61">
        <f>SUM(I120:I120)</f>
        <v>4053.7260000000001</v>
      </c>
    </row>
    <row r="120" spans="1:12" ht="121.9" customHeight="1">
      <c r="A120" s="62">
        <v>1</v>
      </c>
      <c r="B120" s="63" t="s">
        <v>122</v>
      </c>
      <c r="C120" s="63">
        <v>76</v>
      </c>
      <c r="D120" s="62">
        <v>8.9999999999999993E-3</v>
      </c>
      <c r="E120" s="64">
        <v>1.5</v>
      </c>
      <c r="F120" s="65">
        <v>1</v>
      </c>
      <c r="G120" s="66">
        <f>C120*E120*D120*F120</f>
        <v>1.026</v>
      </c>
      <c r="H120" s="67">
        <v>3951</v>
      </c>
      <c r="I120" s="67">
        <f t="shared" ref="I120" si="25">G120*H120</f>
        <v>4053.7260000000001</v>
      </c>
    </row>
    <row r="121" spans="1:12">
      <c r="A121" s="59" t="s">
        <v>72</v>
      </c>
      <c r="B121" s="172" t="s">
        <v>73</v>
      </c>
      <c r="C121" s="172"/>
      <c r="D121" s="172"/>
      <c r="E121" s="172"/>
      <c r="F121" s="172"/>
      <c r="G121" s="172"/>
      <c r="H121" s="172"/>
      <c r="I121" s="61">
        <f>SUM(I122:I123)</f>
        <v>3970.7550000000001</v>
      </c>
    </row>
    <row r="122" spans="1:12">
      <c r="A122" s="62">
        <v>1</v>
      </c>
      <c r="B122" s="63" t="s">
        <v>123</v>
      </c>
      <c r="C122" s="63">
        <v>1</v>
      </c>
      <c r="D122" s="62">
        <v>0.4</v>
      </c>
      <c r="E122" s="64">
        <v>1.5</v>
      </c>
      <c r="F122" s="65">
        <v>1</v>
      </c>
      <c r="G122" s="66">
        <f t="shared" ref="G122:G123" si="26">C122*E122*D122*F122</f>
        <v>0.60000000000000009</v>
      </c>
      <c r="H122" s="67">
        <v>3951</v>
      </c>
      <c r="I122" s="67">
        <f t="shared" ref="I122:I127" si="27">G122*H122</f>
        <v>2370.6000000000004</v>
      </c>
    </row>
    <row r="123" spans="1:12">
      <c r="A123" s="62">
        <v>2</v>
      </c>
      <c r="B123" s="63" t="s">
        <v>124</v>
      </c>
      <c r="C123" s="63">
        <v>30</v>
      </c>
      <c r="D123" s="62">
        <v>8.9999999999999993E-3</v>
      </c>
      <c r="E123" s="64">
        <v>1.5</v>
      </c>
      <c r="F123" s="65">
        <v>1</v>
      </c>
      <c r="G123" s="66">
        <f t="shared" si="26"/>
        <v>0.40499999999999997</v>
      </c>
      <c r="H123" s="67">
        <v>3951</v>
      </c>
      <c r="I123" s="67">
        <f t="shared" si="27"/>
        <v>1600.155</v>
      </c>
    </row>
    <row r="124" spans="1:12">
      <c r="A124" s="59" t="s">
        <v>76</v>
      </c>
      <c r="B124" s="68" t="s">
        <v>77</v>
      </c>
      <c r="C124" s="68"/>
      <c r="D124" s="59"/>
      <c r="E124" s="60"/>
      <c r="F124" s="69"/>
      <c r="G124" s="70"/>
      <c r="H124" s="61"/>
      <c r="I124" s="61">
        <f>I125</f>
        <v>1200.11625</v>
      </c>
    </row>
    <row r="125" spans="1:12">
      <c r="A125" s="62">
        <v>1</v>
      </c>
      <c r="B125" s="71" t="s">
        <v>125</v>
      </c>
      <c r="C125" s="72">
        <v>1</v>
      </c>
      <c r="D125" s="62">
        <v>0.45</v>
      </c>
      <c r="E125" s="64">
        <v>1.5</v>
      </c>
      <c r="F125" s="65">
        <v>0.45</v>
      </c>
      <c r="G125" s="66">
        <f>C125*E125*D125*F125</f>
        <v>0.30375000000000002</v>
      </c>
      <c r="H125" s="67">
        <v>3951</v>
      </c>
      <c r="I125" s="67">
        <f t="shared" si="27"/>
        <v>1200.11625</v>
      </c>
    </row>
    <row r="126" spans="1:12">
      <c r="A126" s="59" t="s">
        <v>79</v>
      </c>
      <c r="B126" s="172" t="s">
        <v>80</v>
      </c>
      <c r="C126" s="172"/>
      <c r="D126" s="172"/>
      <c r="E126" s="172"/>
      <c r="F126" s="172"/>
      <c r="G126" s="172"/>
      <c r="H126" s="172"/>
      <c r="I126" s="61">
        <f>SUM(I127:I127)</f>
        <v>31924.87019999999</v>
      </c>
    </row>
    <row r="127" spans="1:12">
      <c r="A127" s="62">
        <v>1</v>
      </c>
      <c r="B127" s="63" t="s">
        <v>80</v>
      </c>
      <c r="C127" s="63">
        <v>1</v>
      </c>
      <c r="D127" s="62">
        <v>6.7</v>
      </c>
      <c r="E127" s="64">
        <v>0.6</v>
      </c>
      <c r="F127" s="65">
        <v>2.0099999999999998</v>
      </c>
      <c r="G127" s="66">
        <f>C127*E127*D127*F127</f>
        <v>8.0801999999999978</v>
      </c>
      <c r="H127" s="67">
        <v>3951</v>
      </c>
      <c r="I127" s="67">
        <f t="shared" si="27"/>
        <v>31924.87019999999</v>
      </c>
    </row>
    <row r="128" spans="1:12">
      <c r="A128" s="73" t="s">
        <v>83</v>
      </c>
      <c r="B128" s="73" t="s">
        <v>84</v>
      </c>
      <c r="C128" s="73"/>
      <c r="D128" s="73"/>
      <c r="E128" s="73"/>
      <c r="F128" s="73"/>
      <c r="G128" s="74"/>
      <c r="H128" s="73"/>
      <c r="I128" s="75">
        <f>SUM(I129:I130)</f>
        <v>294807.81599999999</v>
      </c>
    </row>
    <row r="129" spans="1:12">
      <c r="A129" s="62">
        <v>1</v>
      </c>
      <c r="B129" s="76" t="s">
        <v>126</v>
      </c>
      <c r="C129" s="62">
        <v>1</v>
      </c>
      <c r="D129" s="62">
        <v>1.6</v>
      </c>
      <c r="E129" s="62">
        <v>44.76</v>
      </c>
      <c r="F129" s="62">
        <v>1</v>
      </c>
      <c r="G129" s="66">
        <f>C129*E129*D129*F129</f>
        <v>71.616</v>
      </c>
      <c r="H129" s="67">
        <v>3951</v>
      </c>
      <c r="I129" s="67">
        <f>G129*H129</f>
        <v>282954.81599999999</v>
      </c>
    </row>
    <row r="130" spans="1:12">
      <c r="A130" s="62">
        <v>2</v>
      </c>
      <c r="B130" s="76" t="s">
        <v>127</v>
      </c>
      <c r="C130" s="62">
        <v>1</v>
      </c>
      <c r="D130" s="62">
        <v>1</v>
      </c>
      <c r="E130" s="62">
        <v>3</v>
      </c>
      <c r="F130" s="62">
        <v>1</v>
      </c>
      <c r="G130" s="66">
        <f>C130*E130*D130*F130</f>
        <v>3</v>
      </c>
      <c r="H130" s="67">
        <v>3951</v>
      </c>
      <c r="I130" s="67">
        <f>G130*H130</f>
        <v>11853</v>
      </c>
    </row>
    <row r="131" spans="1:12">
      <c r="A131" s="184" t="s">
        <v>111</v>
      </c>
      <c r="B131" s="185"/>
      <c r="C131" s="185"/>
      <c r="D131" s="185"/>
      <c r="E131" s="185"/>
      <c r="F131" s="185"/>
      <c r="G131" s="185"/>
      <c r="H131" s="186"/>
      <c r="I131" s="77">
        <f>I128+I126+I124+I121+I119</f>
        <v>335957.28345000005</v>
      </c>
    </row>
    <row r="132" spans="1:12">
      <c r="A132" s="184" t="s">
        <v>112</v>
      </c>
      <c r="B132" s="185"/>
      <c r="C132" s="185"/>
      <c r="D132" s="185"/>
      <c r="E132" s="185"/>
      <c r="F132" s="185"/>
      <c r="G132" s="185"/>
      <c r="H132" s="186"/>
      <c r="I132" s="77">
        <f>I131*17%</f>
        <v>57112.738186500013</v>
      </c>
      <c r="J132" s="78">
        <v>0.17</v>
      </c>
    </row>
    <row r="133" spans="1:12">
      <c r="A133" s="173" t="s">
        <v>113</v>
      </c>
      <c r="B133" s="174"/>
      <c r="C133" s="174"/>
      <c r="D133" s="174"/>
      <c r="E133" s="174"/>
      <c r="F133" s="174"/>
      <c r="G133" s="174"/>
      <c r="H133" s="175"/>
      <c r="I133" s="77">
        <f>I132+I131</f>
        <v>393070.02163650008</v>
      </c>
      <c r="J133" s="192" t="s">
        <v>128</v>
      </c>
      <c r="K133" s="79" t="s">
        <v>116</v>
      </c>
      <c r="L133" s="80">
        <v>400000</v>
      </c>
    </row>
    <row r="134" spans="1:12">
      <c r="A134" s="193" t="s">
        <v>115</v>
      </c>
      <c r="B134" s="193"/>
      <c r="C134" s="193"/>
      <c r="D134" s="193"/>
      <c r="E134" s="193"/>
      <c r="F134" s="193"/>
      <c r="G134" s="193"/>
      <c r="H134" s="193"/>
      <c r="I134" s="81">
        <v>48145</v>
      </c>
      <c r="J134" s="192"/>
      <c r="K134" s="79" t="s">
        <v>116</v>
      </c>
      <c r="L134" s="80">
        <v>50000</v>
      </c>
    </row>
    <row r="135" spans="1:12">
      <c r="A135" s="193" t="s">
        <v>117</v>
      </c>
      <c r="B135" s="193"/>
      <c r="C135" s="193"/>
      <c r="D135" s="193"/>
      <c r="E135" s="193"/>
      <c r="F135" s="193"/>
      <c r="G135" s="193"/>
      <c r="H135" s="193"/>
      <c r="I135" s="81">
        <v>4743</v>
      </c>
      <c r="J135" s="192"/>
      <c r="K135" s="79" t="s">
        <v>116</v>
      </c>
      <c r="L135" s="80">
        <v>5000</v>
      </c>
    </row>
    <row r="136" spans="1:12">
      <c r="A136" s="193" t="s">
        <v>118</v>
      </c>
      <c r="B136" s="193"/>
      <c r="C136" s="193"/>
      <c r="D136" s="193"/>
      <c r="E136" s="193"/>
      <c r="F136" s="193"/>
      <c r="G136" s="193"/>
      <c r="H136" s="193"/>
      <c r="I136" s="81">
        <v>4646</v>
      </c>
      <c r="J136" s="192"/>
      <c r="K136" s="79" t="s">
        <v>116</v>
      </c>
      <c r="L136" s="80">
        <v>5000</v>
      </c>
    </row>
    <row r="137" spans="1:12">
      <c r="A137" s="193" t="s">
        <v>119</v>
      </c>
      <c r="B137" s="193"/>
      <c r="C137" s="193"/>
      <c r="D137" s="193"/>
      <c r="E137" s="193"/>
      <c r="F137" s="193"/>
      <c r="G137" s="193"/>
      <c r="H137" s="193"/>
      <c r="I137" s="81">
        <v>1404</v>
      </c>
      <c r="J137" s="192"/>
      <c r="K137" s="79" t="s">
        <v>116</v>
      </c>
      <c r="L137" s="80">
        <v>2000</v>
      </c>
    </row>
    <row r="138" spans="1:12">
      <c r="A138" s="193" t="s">
        <v>120</v>
      </c>
      <c r="B138" s="193"/>
      <c r="C138" s="193"/>
      <c r="D138" s="193"/>
      <c r="E138" s="193"/>
      <c r="F138" s="193"/>
      <c r="G138" s="193"/>
      <c r="H138" s="193"/>
      <c r="I138" s="81">
        <v>37352</v>
      </c>
      <c r="J138" s="192"/>
      <c r="K138" s="79" t="s">
        <v>116</v>
      </c>
      <c r="L138" s="80">
        <v>40000</v>
      </c>
    </row>
  </sheetData>
  <mergeCells count="76">
    <mergeCell ref="A1:B1"/>
    <mergeCell ref="A20:A24"/>
    <mergeCell ref="B20:B24"/>
    <mergeCell ref="C20:C24"/>
    <mergeCell ref="D20:D22"/>
    <mergeCell ref="A25:A29"/>
    <mergeCell ref="B25:B29"/>
    <mergeCell ref="C25:C29"/>
    <mergeCell ref="D25:D27"/>
    <mergeCell ref="G65:G68"/>
    <mergeCell ref="H65:H68"/>
    <mergeCell ref="I65:I68"/>
    <mergeCell ref="A42:G43"/>
    <mergeCell ref="A48:K49"/>
    <mergeCell ref="A65:A68"/>
    <mergeCell ref="A52:A55"/>
    <mergeCell ref="A56:A59"/>
    <mergeCell ref="B65:B68"/>
    <mergeCell ref="C65:C68"/>
    <mergeCell ref="A63:I64"/>
    <mergeCell ref="D65:D68"/>
    <mergeCell ref="E65:E68"/>
    <mergeCell ref="F65:F68"/>
    <mergeCell ref="J105:J110"/>
    <mergeCell ref="A106:H106"/>
    <mergeCell ref="A107:H107"/>
    <mergeCell ref="A108:H108"/>
    <mergeCell ref="A109:H109"/>
    <mergeCell ref="A110:H110"/>
    <mergeCell ref="A105:H105"/>
    <mergeCell ref="A132:H132"/>
    <mergeCell ref="A133:H133"/>
    <mergeCell ref="J133:J138"/>
    <mergeCell ref="A134:H134"/>
    <mergeCell ref="A135:H135"/>
    <mergeCell ref="A136:H136"/>
    <mergeCell ref="A137:H137"/>
    <mergeCell ref="A138:H138"/>
    <mergeCell ref="B126:H126"/>
    <mergeCell ref="A131:H131"/>
    <mergeCell ref="A4:A6"/>
    <mergeCell ref="B4:B6"/>
    <mergeCell ref="C4:C6"/>
    <mergeCell ref="D4:D6"/>
    <mergeCell ref="E4:E6"/>
    <mergeCell ref="F4:H5"/>
    <mergeCell ref="A10:A14"/>
    <mergeCell ref="B10:B14"/>
    <mergeCell ref="C10:C14"/>
    <mergeCell ref="D10:D12"/>
    <mergeCell ref="A15:A19"/>
    <mergeCell ref="B15:B19"/>
    <mergeCell ref="F115:F118"/>
    <mergeCell ref="G115:G118"/>
    <mergeCell ref="B119:H119"/>
    <mergeCell ref="B121:H121"/>
    <mergeCell ref="B69:H69"/>
    <mergeCell ref="B72:H72"/>
    <mergeCell ref="B77:H77"/>
    <mergeCell ref="A103:H103"/>
    <mergeCell ref="A104:H104"/>
    <mergeCell ref="A113:I114"/>
    <mergeCell ref="H115:H118"/>
    <mergeCell ref="I115:I118"/>
    <mergeCell ref="A115:A118"/>
    <mergeCell ref="B115:B118"/>
    <mergeCell ref="C115:C118"/>
    <mergeCell ref="D115:D118"/>
    <mergeCell ref="E115:E118"/>
    <mergeCell ref="I4:L5"/>
    <mergeCell ref="N4:R5"/>
    <mergeCell ref="C15:C19"/>
    <mergeCell ref="D15:D17"/>
    <mergeCell ref="A7:A9"/>
    <mergeCell ref="B7:B9"/>
    <mergeCell ref="C7:C9"/>
  </mergeCells>
  <pageMargins left="0.7" right="0.7" top="0.75" bottom="0.75" header="0.3" footer="0.3"/>
  <pageSetup paperSize="9"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0CD03-A6A7-4039-8D78-CB18744C9511}">
  <dimension ref="A1:Q64"/>
  <sheetViews>
    <sheetView tabSelected="1" topLeftCell="A53" workbookViewId="0">
      <selection activeCell="D3" sqref="D3"/>
    </sheetView>
  </sheetViews>
  <sheetFormatPr defaultColWidth="8.85546875" defaultRowHeight="13.9"/>
  <cols>
    <col min="1" max="1" width="8.85546875" style="46"/>
    <col min="2" max="2" width="19.28515625" style="46" customWidth="1"/>
    <col min="3" max="3" width="22.85546875" style="46" customWidth="1"/>
    <col min="4" max="4" width="21.28515625" style="46" customWidth="1"/>
    <col min="5" max="5" width="17.85546875" style="46" customWidth="1"/>
    <col min="6" max="6" width="13.5703125" style="46" customWidth="1"/>
    <col min="7" max="7" width="13.7109375" style="46" customWidth="1"/>
    <col min="8" max="9" width="8.85546875" style="46"/>
    <col min="10" max="11" width="16.7109375" style="46" customWidth="1"/>
    <col min="12" max="12" width="19.5703125" style="46" customWidth="1"/>
    <col min="13" max="13" width="20.7109375" style="46" customWidth="1"/>
    <col min="14" max="16384" width="8.85546875" style="46"/>
  </cols>
  <sheetData>
    <row r="1" spans="1:17">
      <c r="A1" s="152" t="s">
        <v>129</v>
      </c>
      <c r="B1" s="153"/>
      <c r="C1" s="153"/>
      <c r="D1" s="154"/>
      <c r="E1" s="155" t="s">
        <v>130</v>
      </c>
      <c r="F1" s="155"/>
      <c r="G1" s="155"/>
      <c r="H1" s="155"/>
      <c r="I1" s="155"/>
      <c r="J1" s="155"/>
      <c r="K1" s="155"/>
      <c r="L1" s="155"/>
      <c r="M1" s="114"/>
      <c r="N1" s="127"/>
      <c r="O1" s="127"/>
      <c r="P1" s="127"/>
    </row>
    <row r="2" spans="1:17" ht="60">
      <c r="A2" s="115" t="s">
        <v>131</v>
      </c>
      <c r="B2" s="115" t="s">
        <v>132</v>
      </c>
      <c r="C2" s="116" t="s">
        <v>133</v>
      </c>
      <c r="D2" s="116" t="s">
        <v>134</v>
      </c>
      <c r="E2" s="116" t="s">
        <v>135</v>
      </c>
      <c r="F2" s="116" t="s">
        <v>136</v>
      </c>
      <c r="G2" s="116" t="s">
        <v>137</v>
      </c>
      <c r="H2" s="116" t="s">
        <v>138</v>
      </c>
      <c r="I2" s="116" t="s">
        <v>139</v>
      </c>
      <c r="J2" s="116" t="s">
        <v>140</v>
      </c>
      <c r="K2" s="113" t="s">
        <v>9</v>
      </c>
      <c r="L2" s="127"/>
      <c r="M2" s="127"/>
      <c r="N2" s="127"/>
    </row>
    <row r="3" spans="1:17" ht="136.5" customHeight="1">
      <c r="A3" s="117" t="s">
        <v>24</v>
      </c>
      <c r="B3" s="118" t="s">
        <v>141</v>
      </c>
      <c r="C3" s="139" t="s">
        <v>142</v>
      </c>
      <c r="D3" s="143" t="s">
        <v>143</v>
      </c>
      <c r="E3" s="119"/>
      <c r="F3" s="119"/>
      <c r="G3" s="119"/>
      <c r="H3" s="119"/>
      <c r="I3" s="120"/>
      <c r="J3" s="120"/>
      <c r="K3" s="113"/>
      <c r="L3" s="128"/>
      <c r="M3" s="127"/>
      <c r="N3" s="127"/>
    </row>
    <row r="4" spans="1:17" ht="142.5">
      <c r="A4" s="117" t="s">
        <v>32</v>
      </c>
      <c r="B4" s="118" t="s">
        <v>141</v>
      </c>
      <c r="C4" s="144" t="s">
        <v>144</v>
      </c>
      <c r="D4" s="143" t="s">
        <v>143</v>
      </c>
      <c r="E4" s="119"/>
      <c r="F4" s="119"/>
      <c r="G4" s="119"/>
      <c r="H4" s="119"/>
      <c r="I4" s="145" t="s">
        <v>145</v>
      </c>
      <c r="J4" s="120"/>
      <c r="K4" s="150" t="s">
        <v>146</v>
      </c>
      <c r="L4" s="128"/>
      <c r="M4" s="127"/>
      <c r="N4" s="127"/>
    </row>
    <row r="5" spans="1:17" ht="142.5">
      <c r="A5" s="117" t="s">
        <v>31</v>
      </c>
      <c r="B5" s="118" t="s">
        <v>141</v>
      </c>
      <c r="C5" s="144" t="s">
        <v>144</v>
      </c>
      <c r="D5" s="143" t="s">
        <v>143</v>
      </c>
      <c r="E5" s="119"/>
      <c r="F5" s="119"/>
      <c r="G5" s="119"/>
      <c r="H5" s="119"/>
      <c r="I5" s="145" t="s">
        <v>145</v>
      </c>
      <c r="J5" s="120"/>
      <c r="K5" s="150" t="s">
        <v>146</v>
      </c>
      <c r="L5" s="128"/>
      <c r="M5" s="127"/>
      <c r="N5" s="127"/>
    </row>
    <row r="6" spans="1:17" ht="24">
      <c r="A6" s="117" t="s">
        <v>147</v>
      </c>
      <c r="B6" s="118" t="s">
        <v>141</v>
      </c>
      <c r="C6" s="144" t="s">
        <v>148</v>
      </c>
      <c r="D6" s="119"/>
      <c r="E6" s="119"/>
      <c r="F6" s="119"/>
      <c r="G6" s="119"/>
      <c r="H6" s="119"/>
      <c r="I6" s="120"/>
      <c r="J6" s="120"/>
      <c r="K6" s="113"/>
      <c r="L6" s="128"/>
      <c r="M6" s="127"/>
      <c r="N6" s="127"/>
    </row>
    <row r="7" spans="1:17" ht="166.5">
      <c r="A7" s="117" t="s">
        <v>149</v>
      </c>
      <c r="B7" s="118" t="s">
        <v>141</v>
      </c>
      <c r="C7" s="139" t="s">
        <v>150</v>
      </c>
      <c r="D7" s="140" t="s">
        <v>151</v>
      </c>
      <c r="E7" s="119"/>
      <c r="F7" s="119"/>
      <c r="G7" s="119"/>
      <c r="H7" s="119"/>
      <c r="I7" s="120"/>
      <c r="J7" s="120"/>
      <c r="K7" s="113"/>
      <c r="L7" s="128"/>
      <c r="M7" s="127"/>
      <c r="N7" s="127"/>
    </row>
    <row r="8" spans="1:17" ht="15">
      <c r="A8" s="117" t="s">
        <v>152</v>
      </c>
      <c r="B8" s="118" t="s">
        <v>141</v>
      </c>
      <c r="C8" s="119">
        <v>29000</v>
      </c>
      <c r="D8" s="119">
        <v>2900</v>
      </c>
      <c r="E8" s="119"/>
      <c r="F8" s="119"/>
      <c r="G8" s="119"/>
      <c r="H8" s="119"/>
      <c r="I8" s="120"/>
      <c r="J8" s="120"/>
      <c r="K8" s="113"/>
      <c r="L8" s="128"/>
      <c r="M8" s="127"/>
      <c r="N8" s="127"/>
    </row>
    <row r="9" spans="1:17" ht="142.5">
      <c r="A9" s="117" t="s">
        <v>153</v>
      </c>
      <c r="B9" s="118" t="s">
        <v>141</v>
      </c>
      <c r="C9" s="144" t="s">
        <v>144</v>
      </c>
      <c r="D9" s="143" t="s">
        <v>143</v>
      </c>
      <c r="E9" s="119"/>
      <c r="F9" s="119"/>
      <c r="G9" s="119"/>
      <c r="H9" s="119"/>
      <c r="I9" s="120"/>
      <c r="J9" s="120"/>
      <c r="K9" s="113"/>
      <c r="L9" s="128"/>
      <c r="M9" s="127"/>
      <c r="N9" s="127"/>
    </row>
    <row r="10" spans="1:17" ht="15">
      <c r="A10" s="121"/>
      <c r="B10" s="122"/>
      <c r="C10" s="123"/>
      <c r="D10" s="124"/>
      <c r="E10" s="125"/>
      <c r="F10" s="125"/>
      <c r="G10" s="125"/>
      <c r="H10" s="125"/>
      <c r="I10" s="126"/>
      <c r="J10" s="125"/>
      <c r="K10" s="125"/>
      <c r="L10" s="125"/>
      <c r="M10" s="125"/>
      <c r="N10" s="125"/>
      <c r="O10" s="126"/>
      <c r="P10" s="126"/>
      <c r="Q10" s="114"/>
    </row>
    <row r="12" spans="1:17" ht="13.9" customHeight="1">
      <c r="A12" s="151" t="s">
        <v>154</v>
      </c>
      <c r="B12" s="151"/>
      <c r="C12" s="151"/>
      <c r="D12" s="151"/>
      <c r="J12" s="151" t="s">
        <v>155</v>
      </c>
      <c r="K12" s="151"/>
      <c r="L12" s="151"/>
      <c r="M12" s="151"/>
    </row>
    <row r="13" spans="1:17" ht="15">
      <c r="A13" s="82" t="s">
        <v>40</v>
      </c>
      <c r="B13" s="82" t="s">
        <v>156</v>
      </c>
      <c r="C13" s="82" t="s">
        <v>157</v>
      </c>
      <c r="D13" s="82" t="s">
        <v>158</v>
      </c>
      <c r="J13" s="82" t="s">
        <v>40</v>
      </c>
      <c r="K13" s="82" t="s">
        <v>156</v>
      </c>
      <c r="L13" s="82" t="s">
        <v>157</v>
      </c>
      <c r="M13" s="82" t="s">
        <v>158</v>
      </c>
    </row>
    <row r="14" spans="1:17" ht="126" customHeight="1">
      <c r="A14" s="82">
        <v>1</v>
      </c>
      <c r="B14" s="117" t="s">
        <v>24</v>
      </c>
      <c r="C14" s="149" t="s">
        <v>159</v>
      </c>
      <c r="D14" s="50" t="s">
        <v>160</v>
      </c>
      <c r="E14" s="156"/>
      <c r="F14" s="157"/>
      <c r="G14" s="157"/>
      <c r="J14" s="82">
        <v>1</v>
      </c>
      <c r="K14" s="117" t="s">
        <v>24</v>
      </c>
      <c r="L14" s="149" t="s">
        <v>161</v>
      </c>
      <c r="M14" s="50"/>
    </row>
    <row r="15" spans="1:17" ht="30">
      <c r="A15" s="82">
        <v>2</v>
      </c>
      <c r="B15" s="117" t="s">
        <v>32</v>
      </c>
      <c r="C15" s="83">
        <v>54545</v>
      </c>
      <c r="D15" s="50" t="s">
        <v>162</v>
      </c>
      <c r="E15" s="156"/>
      <c r="F15" s="157"/>
      <c r="G15" s="157"/>
      <c r="J15" s="82">
        <v>2</v>
      </c>
      <c r="K15" s="117" t="s">
        <v>32</v>
      </c>
      <c r="L15" s="134" t="s">
        <v>163</v>
      </c>
      <c r="M15" s="50"/>
    </row>
    <row r="16" spans="1:17" ht="75.75">
      <c r="A16" s="82">
        <v>3</v>
      </c>
      <c r="B16" s="117" t="s">
        <v>31</v>
      </c>
      <c r="C16" s="134">
        <f>64800/1.08</f>
        <v>59999.999999999993</v>
      </c>
      <c r="D16" s="50" t="s">
        <v>160</v>
      </c>
      <c r="E16" s="156"/>
      <c r="F16" s="157"/>
      <c r="G16" s="157"/>
      <c r="J16" s="82">
        <v>3</v>
      </c>
      <c r="K16" s="117" t="s">
        <v>31</v>
      </c>
      <c r="L16" s="134" t="s">
        <v>164</v>
      </c>
      <c r="M16" s="50"/>
    </row>
    <row r="17" spans="1:13">
      <c r="A17" s="82">
        <v>4</v>
      </c>
      <c r="B17" s="117" t="s">
        <v>147</v>
      </c>
      <c r="C17" s="83"/>
      <c r="D17" s="50"/>
      <c r="E17" s="156"/>
      <c r="F17" s="157"/>
      <c r="G17" s="157"/>
      <c r="J17" s="82">
        <v>4</v>
      </c>
      <c r="K17" s="117" t="s">
        <v>147</v>
      </c>
      <c r="L17" s="83"/>
      <c r="M17" s="50"/>
    </row>
    <row r="18" spans="1:13" ht="106.5">
      <c r="A18" s="82">
        <v>5</v>
      </c>
      <c r="B18" s="117" t="s">
        <v>149</v>
      </c>
      <c r="C18" s="83">
        <v>90000</v>
      </c>
      <c r="D18" s="50"/>
      <c r="E18" s="156"/>
      <c r="F18" s="157"/>
      <c r="G18" s="157"/>
      <c r="J18" s="82">
        <v>5</v>
      </c>
      <c r="K18" s="117" t="s">
        <v>149</v>
      </c>
      <c r="L18" s="134" t="s">
        <v>165</v>
      </c>
      <c r="M18" s="50" t="s">
        <v>166</v>
      </c>
    </row>
    <row r="19" spans="1:13" ht="45.75">
      <c r="A19" s="82">
        <v>6</v>
      </c>
      <c r="B19" s="117" t="s">
        <v>152</v>
      </c>
      <c r="C19" s="83">
        <v>120000</v>
      </c>
      <c r="D19" s="50" t="s">
        <v>167</v>
      </c>
      <c r="E19" s="156"/>
      <c r="F19" s="157"/>
      <c r="G19" s="157"/>
      <c r="J19" s="82">
        <v>6</v>
      </c>
      <c r="K19" s="117" t="s">
        <v>152</v>
      </c>
      <c r="L19" s="134" t="s">
        <v>168</v>
      </c>
      <c r="M19" s="50" t="s">
        <v>169</v>
      </c>
    </row>
    <row r="20" spans="1:13" ht="60.75">
      <c r="A20" s="82">
        <v>7</v>
      </c>
      <c r="B20" s="117" t="s">
        <v>153</v>
      </c>
      <c r="C20" s="134" t="s">
        <v>170</v>
      </c>
      <c r="D20" s="50"/>
      <c r="E20" s="156"/>
      <c r="F20" s="157"/>
      <c r="G20" s="157"/>
      <c r="J20" s="82">
        <v>7</v>
      </c>
      <c r="K20" s="117" t="s">
        <v>153</v>
      </c>
      <c r="L20" s="134" t="s">
        <v>171</v>
      </c>
      <c r="M20" s="50"/>
    </row>
    <row r="22" spans="1:13">
      <c r="A22" s="151" t="s">
        <v>172</v>
      </c>
      <c r="B22" s="151"/>
      <c r="C22" s="151"/>
      <c r="D22" s="151"/>
      <c r="J22" s="151" t="s">
        <v>173</v>
      </c>
      <c r="K22" s="151"/>
      <c r="L22" s="151"/>
      <c r="M22" s="151"/>
    </row>
    <row r="23" spans="1:13">
      <c r="A23" s="82" t="s">
        <v>40</v>
      </c>
      <c r="B23" s="82" t="s">
        <v>156</v>
      </c>
      <c r="C23" s="82" t="s">
        <v>157</v>
      </c>
      <c r="D23" s="82" t="s">
        <v>158</v>
      </c>
      <c r="J23" s="82" t="s">
        <v>40</v>
      </c>
      <c r="K23" s="82" t="s">
        <v>156</v>
      </c>
      <c r="L23" s="82" t="s">
        <v>157</v>
      </c>
      <c r="M23" s="82" t="s">
        <v>158</v>
      </c>
    </row>
    <row r="24" spans="1:13" ht="198">
      <c r="A24" s="82">
        <v>1</v>
      </c>
      <c r="B24" s="117" t="s">
        <v>24</v>
      </c>
      <c r="C24" s="149" t="s">
        <v>174</v>
      </c>
      <c r="D24" s="50" t="s">
        <v>160</v>
      </c>
      <c r="E24" s="156"/>
      <c r="F24" s="157"/>
      <c r="G24" s="157"/>
      <c r="J24" s="82">
        <v>1</v>
      </c>
      <c r="K24" s="117" t="s">
        <v>24</v>
      </c>
      <c r="L24" s="149" t="s">
        <v>175</v>
      </c>
      <c r="M24" s="50"/>
    </row>
    <row r="25" spans="1:13" ht="45.75">
      <c r="A25" s="82">
        <v>2</v>
      </c>
      <c r="B25" s="117" t="s">
        <v>32</v>
      </c>
      <c r="C25" s="134" t="s">
        <v>176</v>
      </c>
      <c r="D25" s="50" t="s">
        <v>162</v>
      </c>
      <c r="E25" s="156"/>
      <c r="F25" s="157"/>
      <c r="G25" s="157"/>
      <c r="J25" s="82">
        <v>2</v>
      </c>
      <c r="K25" s="117" t="s">
        <v>32</v>
      </c>
      <c r="L25" s="134" t="s">
        <v>163</v>
      </c>
      <c r="M25" s="50"/>
    </row>
    <row r="26" spans="1:13" ht="90.75">
      <c r="A26" s="82">
        <v>3</v>
      </c>
      <c r="B26" s="117" t="s">
        <v>31</v>
      </c>
      <c r="C26" s="134" t="s">
        <v>177</v>
      </c>
      <c r="D26" s="50" t="s">
        <v>160</v>
      </c>
      <c r="E26" s="156"/>
      <c r="F26" s="157"/>
      <c r="G26" s="157"/>
      <c r="J26" s="82">
        <v>3</v>
      </c>
      <c r="K26" s="117" t="s">
        <v>31</v>
      </c>
      <c r="L26" s="134" t="s">
        <v>178</v>
      </c>
      <c r="M26" s="134" t="s">
        <v>179</v>
      </c>
    </row>
    <row r="27" spans="1:13" ht="15">
      <c r="A27" s="82">
        <v>4</v>
      </c>
      <c r="B27" s="117" t="s">
        <v>147</v>
      </c>
      <c r="D27" s="50"/>
      <c r="E27" s="156"/>
      <c r="F27" s="157"/>
      <c r="G27" s="157"/>
      <c r="J27" s="82">
        <v>4</v>
      </c>
      <c r="K27" s="117" t="s">
        <v>147</v>
      </c>
      <c r="L27" s="83"/>
      <c r="M27" s="50"/>
    </row>
    <row r="28" spans="1:13" ht="106.5">
      <c r="A28" s="82">
        <v>5</v>
      </c>
      <c r="B28" s="117" t="s">
        <v>149</v>
      </c>
      <c r="C28" s="83">
        <v>50000</v>
      </c>
      <c r="D28" s="50" t="s">
        <v>180</v>
      </c>
      <c r="E28" s="156"/>
      <c r="F28" s="157"/>
      <c r="G28" s="157"/>
      <c r="J28" s="82">
        <v>5</v>
      </c>
      <c r="K28" s="117" t="s">
        <v>149</v>
      </c>
      <c r="L28" s="134" t="s">
        <v>165</v>
      </c>
      <c r="M28" s="50" t="s">
        <v>166</v>
      </c>
    </row>
    <row r="29" spans="1:13" ht="60.75">
      <c r="A29" s="82">
        <v>6</v>
      </c>
      <c r="B29" s="117" t="s">
        <v>152</v>
      </c>
      <c r="C29" s="83">
        <v>50000</v>
      </c>
      <c r="D29" s="50" t="s">
        <v>181</v>
      </c>
      <c r="E29" s="156"/>
      <c r="F29" s="157"/>
      <c r="G29" s="157"/>
      <c r="J29" s="82">
        <v>6</v>
      </c>
      <c r="K29" s="117" t="s">
        <v>152</v>
      </c>
      <c r="L29" s="134" t="s">
        <v>182</v>
      </c>
      <c r="M29" s="50" t="s">
        <v>183</v>
      </c>
    </row>
    <row r="30" spans="1:13" ht="60.75">
      <c r="A30" s="82">
        <v>7</v>
      </c>
      <c r="B30" s="117" t="s">
        <v>153</v>
      </c>
      <c r="C30" s="134" t="s">
        <v>184</v>
      </c>
      <c r="D30" s="50"/>
      <c r="E30" s="156"/>
      <c r="F30" s="157"/>
      <c r="G30" s="157"/>
      <c r="J30" s="82">
        <v>7</v>
      </c>
      <c r="K30" s="117" t="s">
        <v>153</v>
      </c>
      <c r="L30" s="134" t="s">
        <v>171</v>
      </c>
      <c r="M30" s="50"/>
    </row>
    <row r="31" spans="1:13">
      <c r="A31" s="130"/>
      <c r="B31" s="131"/>
      <c r="C31" s="83"/>
      <c r="D31" s="50"/>
      <c r="E31" s="156"/>
      <c r="F31" s="157"/>
      <c r="G31" s="157"/>
      <c r="J31" s="129"/>
      <c r="K31" s="54"/>
      <c r="L31" s="83"/>
      <c r="M31" s="50"/>
    </row>
    <row r="34" spans="1:13">
      <c r="A34" s="151" t="s">
        <v>185</v>
      </c>
      <c r="B34" s="151"/>
      <c r="C34" s="151"/>
      <c r="D34" s="151"/>
      <c r="J34" s="151" t="s">
        <v>186</v>
      </c>
      <c r="K34" s="151"/>
      <c r="L34" s="151"/>
      <c r="M34" s="151"/>
    </row>
    <row r="35" spans="1:13">
      <c r="A35" s="82" t="s">
        <v>40</v>
      </c>
      <c r="B35" s="82" t="s">
        <v>156</v>
      </c>
      <c r="C35" s="82" t="s">
        <v>157</v>
      </c>
      <c r="D35" s="82" t="s">
        <v>158</v>
      </c>
      <c r="J35" s="82" t="s">
        <v>40</v>
      </c>
      <c r="K35" s="82" t="s">
        <v>156</v>
      </c>
      <c r="L35" s="82" t="s">
        <v>157</v>
      </c>
      <c r="M35" s="82" t="s">
        <v>158</v>
      </c>
    </row>
    <row r="36" spans="1:13" ht="75.75">
      <c r="A36" s="82">
        <v>1</v>
      </c>
      <c r="B36" s="117" t="s">
        <v>24</v>
      </c>
      <c r="C36" s="134" t="s">
        <v>187</v>
      </c>
      <c r="D36" s="50" t="s">
        <v>160</v>
      </c>
      <c r="E36" s="132"/>
      <c r="F36" s="133"/>
      <c r="G36" s="133"/>
      <c r="J36" s="82">
        <v>1</v>
      </c>
      <c r="K36" s="117" t="s">
        <v>24</v>
      </c>
      <c r="L36" s="134" t="s">
        <v>188</v>
      </c>
      <c r="M36" s="50"/>
    </row>
    <row r="37" spans="1:13" ht="30">
      <c r="A37" s="82">
        <v>2</v>
      </c>
      <c r="B37" s="117" t="s">
        <v>32</v>
      </c>
      <c r="C37" s="134" t="s">
        <v>189</v>
      </c>
      <c r="D37" s="50" t="s">
        <v>162</v>
      </c>
      <c r="E37" s="132"/>
      <c r="F37" s="133"/>
      <c r="G37" s="133"/>
      <c r="J37" s="82">
        <v>2</v>
      </c>
      <c r="K37" s="117" t="s">
        <v>32</v>
      </c>
      <c r="L37" s="134" t="s">
        <v>190</v>
      </c>
      <c r="M37" s="50"/>
    </row>
    <row r="38" spans="1:13" ht="45.75">
      <c r="A38" s="82">
        <v>3</v>
      </c>
      <c r="B38" s="117" t="s">
        <v>31</v>
      </c>
      <c r="C38" s="134" t="s">
        <v>191</v>
      </c>
      <c r="D38" s="50" t="s">
        <v>160</v>
      </c>
      <c r="E38" s="132"/>
      <c r="F38" s="133"/>
      <c r="G38" s="133"/>
      <c r="J38" s="82">
        <v>3</v>
      </c>
      <c r="K38" s="117" t="s">
        <v>31</v>
      </c>
      <c r="L38" s="134" t="s">
        <v>192</v>
      </c>
      <c r="M38" s="50"/>
    </row>
    <row r="39" spans="1:13" ht="115.5">
      <c r="A39" s="82">
        <v>4</v>
      </c>
      <c r="B39" s="117" t="s">
        <v>147</v>
      </c>
      <c r="C39" s="146" t="s">
        <v>193</v>
      </c>
      <c r="D39" s="50"/>
      <c r="E39" s="132"/>
      <c r="F39" s="133"/>
      <c r="G39" s="133"/>
      <c r="J39" s="82">
        <v>4</v>
      </c>
      <c r="K39" s="117" t="s">
        <v>147</v>
      </c>
      <c r="L39" s="147" t="s">
        <v>194</v>
      </c>
      <c r="M39" s="50"/>
    </row>
    <row r="40" spans="1:13" ht="60.75">
      <c r="A40" s="82">
        <v>5</v>
      </c>
      <c r="B40" s="117" t="s">
        <v>149</v>
      </c>
      <c r="C40" s="134" t="s">
        <v>195</v>
      </c>
      <c r="D40" s="50"/>
      <c r="E40" s="132"/>
      <c r="F40" s="133"/>
      <c r="G40" s="133"/>
      <c r="J40" s="82">
        <v>5</v>
      </c>
      <c r="K40" s="117" t="s">
        <v>149</v>
      </c>
      <c r="L40" s="134" t="s">
        <v>196</v>
      </c>
      <c r="M40" s="50"/>
    </row>
    <row r="41" spans="1:13" ht="45.75">
      <c r="A41" s="82">
        <v>6</v>
      </c>
      <c r="B41" s="117" t="s">
        <v>152</v>
      </c>
      <c r="C41" s="83">
        <v>2300000</v>
      </c>
      <c r="D41" s="50"/>
      <c r="E41" s="132"/>
      <c r="F41" s="133"/>
      <c r="G41" s="133"/>
      <c r="J41" s="82">
        <v>6</v>
      </c>
      <c r="K41" s="117" t="s">
        <v>152</v>
      </c>
      <c r="L41" s="134" t="s">
        <v>192</v>
      </c>
      <c r="M41" s="50"/>
    </row>
    <row r="42" spans="1:13" ht="75.75">
      <c r="A42" s="82">
        <v>7</v>
      </c>
      <c r="B42" s="117" t="s">
        <v>153</v>
      </c>
      <c r="C42" s="134" t="s">
        <v>197</v>
      </c>
      <c r="D42" s="50"/>
      <c r="E42" s="132"/>
      <c r="F42" s="133"/>
      <c r="G42" s="133"/>
      <c r="J42" s="82">
        <v>7</v>
      </c>
      <c r="K42" s="117" t="s">
        <v>153</v>
      </c>
      <c r="L42" s="134" t="s">
        <v>198</v>
      </c>
      <c r="M42" s="50"/>
    </row>
    <row r="45" spans="1:13" ht="14.45" customHeight="1">
      <c r="A45" s="151" t="s">
        <v>199</v>
      </c>
      <c r="B45" s="151"/>
      <c r="C45" s="151"/>
      <c r="D45" s="151"/>
      <c r="J45" s="151" t="s">
        <v>200</v>
      </c>
      <c r="K45" s="151"/>
      <c r="L45" s="151"/>
      <c r="M45" s="151"/>
    </row>
    <row r="46" spans="1:13">
      <c r="A46" s="50" t="s">
        <v>201</v>
      </c>
      <c r="B46" s="50" t="s">
        <v>202</v>
      </c>
      <c r="C46" s="50" t="s">
        <v>203</v>
      </c>
      <c r="D46" s="50" t="s">
        <v>9</v>
      </c>
      <c r="J46" s="82" t="s">
        <v>40</v>
      </c>
      <c r="K46" s="82" t="s">
        <v>156</v>
      </c>
      <c r="L46" s="82" t="s">
        <v>157</v>
      </c>
      <c r="M46" s="82" t="s">
        <v>158</v>
      </c>
    </row>
    <row r="47" spans="1:13" ht="15">
      <c r="A47" s="82">
        <v>1</v>
      </c>
      <c r="B47" s="117" t="s">
        <v>24</v>
      </c>
      <c r="C47" s="50"/>
      <c r="D47" s="54"/>
      <c r="J47" s="82">
        <v>1</v>
      </c>
      <c r="K47" s="117" t="s">
        <v>24</v>
      </c>
      <c r="L47" s="83" t="s">
        <v>204</v>
      </c>
      <c r="M47" s="50" t="s">
        <v>205</v>
      </c>
    </row>
    <row r="48" spans="1:13" ht="15">
      <c r="A48" s="82">
        <v>2</v>
      </c>
      <c r="B48" s="117" t="s">
        <v>32</v>
      </c>
      <c r="C48" s="138"/>
      <c r="D48" s="54"/>
      <c r="J48" s="82">
        <v>2</v>
      </c>
      <c r="K48" s="117" t="s">
        <v>32</v>
      </c>
      <c r="L48" s="83" t="s">
        <v>206</v>
      </c>
      <c r="M48" s="50" t="s">
        <v>162</v>
      </c>
    </row>
    <row r="49" spans="1:13" ht="15">
      <c r="A49" s="82">
        <v>3</v>
      </c>
      <c r="B49" s="117" t="s">
        <v>31</v>
      </c>
      <c r="C49" s="50"/>
      <c r="D49" s="54" t="s">
        <v>207</v>
      </c>
      <c r="J49" s="82">
        <v>3</v>
      </c>
      <c r="K49" s="117" t="s">
        <v>31</v>
      </c>
      <c r="L49" s="83" t="s">
        <v>208</v>
      </c>
      <c r="M49" s="50" t="s">
        <v>209</v>
      </c>
    </row>
    <row r="50" spans="1:13" ht="90.75">
      <c r="A50" s="82">
        <v>4</v>
      </c>
      <c r="B50" s="117" t="s">
        <v>147</v>
      </c>
      <c r="C50" s="148" t="s">
        <v>210</v>
      </c>
      <c r="D50" s="54"/>
      <c r="J50" s="82">
        <v>4</v>
      </c>
      <c r="K50" s="117" t="s">
        <v>147</v>
      </c>
      <c r="L50" s="147" t="s">
        <v>211</v>
      </c>
      <c r="M50" s="50"/>
    </row>
    <row r="51" spans="1:13" ht="75.75">
      <c r="A51" s="82">
        <v>5</v>
      </c>
      <c r="B51" s="117" t="s">
        <v>149</v>
      </c>
      <c r="C51" s="50"/>
      <c r="D51" s="50"/>
      <c r="J51" s="82">
        <v>5</v>
      </c>
      <c r="K51" s="117" t="s">
        <v>149</v>
      </c>
      <c r="L51" s="134" t="s">
        <v>212</v>
      </c>
      <c r="M51" s="50"/>
    </row>
    <row r="52" spans="1:13" ht="84.75" customHeight="1">
      <c r="A52" s="82">
        <v>6</v>
      </c>
      <c r="B52" s="117" t="s">
        <v>152</v>
      </c>
      <c r="C52" s="138" t="s">
        <v>213</v>
      </c>
      <c r="D52" s="51" t="s">
        <v>214</v>
      </c>
      <c r="J52" s="82">
        <v>6</v>
      </c>
      <c r="K52" s="117" t="s">
        <v>152</v>
      </c>
      <c r="L52" s="83"/>
      <c r="M52" s="50"/>
    </row>
    <row r="53" spans="1:13" ht="60.75">
      <c r="A53" s="82">
        <v>7</v>
      </c>
      <c r="B53" s="117" t="s">
        <v>153</v>
      </c>
      <c r="C53" s="82" t="s">
        <v>215</v>
      </c>
      <c r="D53" s="51"/>
      <c r="J53" s="82">
        <v>7</v>
      </c>
      <c r="K53" s="117" t="s">
        <v>153</v>
      </c>
      <c r="L53" s="134" t="s">
        <v>216</v>
      </c>
      <c r="M53" s="50"/>
    </row>
    <row r="56" spans="1:13">
      <c r="A56" s="151" t="s">
        <v>217</v>
      </c>
      <c r="B56" s="151"/>
      <c r="C56" s="151"/>
      <c r="D56" s="151"/>
      <c r="J56" s="151" t="s">
        <v>218</v>
      </c>
      <c r="K56" s="151"/>
      <c r="L56" s="151"/>
      <c r="M56" s="151"/>
    </row>
    <row r="57" spans="1:13" ht="27.6">
      <c r="A57" s="50" t="s">
        <v>201</v>
      </c>
      <c r="B57" s="50" t="s">
        <v>219</v>
      </c>
      <c r="C57" s="50" t="s">
        <v>220</v>
      </c>
      <c r="D57" s="50" t="s">
        <v>221</v>
      </c>
      <c r="J57" s="50" t="s">
        <v>201</v>
      </c>
      <c r="K57" s="50" t="s">
        <v>202</v>
      </c>
      <c r="L57" s="50" t="s">
        <v>222</v>
      </c>
      <c r="M57" s="50" t="s">
        <v>9</v>
      </c>
    </row>
    <row r="58" spans="1:13" ht="15">
      <c r="A58" s="82">
        <v>1</v>
      </c>
      <c r="B58" s="117" t="s">
        <v>24</v>
      </c>
      <c r="C58" s="142">
        <v>20000000</v>
      </c>
      <c r="D58" s="54"/>
      <c r="J58" s="82">
        <v>1</v>
      </c>
      <c r="K58" s="117" t="s">
        <v>24</v>
      </c>
      <c r="L58" s="50"/>
      <c r="M58" s="54"/>
    </row>
    <row r="59" spans="1:13" ht="15">
      <c r="A59" s="82">
        <v>2</v>
      </c>
      <c r="B59" s="117" t="s">
        <v>32</v>
      </c>
      <c r="C59" s="142">
        <v>20000000</v>
      </c>
      <c r="D59" s="141" t="s">
        <v>223</v>
      </c>
      <c r="J59" s="82">
        <v>2</v>
      </c>
      <c r="K59" s="117" t="s">
        <v>32</v>
      </c>
      <c r="L59" s="50"/>
      <c r="M59" s="54"/>
    </row>
    <row r="60" spans="1:13" ht="30">
      <c r="A60" s="82">
        <v>3</v>
      </c>
      <c r="B60" s="117" t="s">
        <v>31</v>
      </c>
      <c r="C60" s="136">
        <v>20000000</v>
      </c>
      <c r="D60" s="137" t="s">
        <v>224</v>
      </c>
      <c r="J60" s="82">
        <v>3</v>
      </c>
      <c r="K60" s="117" t="s">
        <v>31</v>
      </c>
      <c r="L60" s="50" t="s">
        <v>225</v>
      </c>
      <c r="M60" s="54" t="s">
        <v>226</v>
      </c>
    </row>
    <row r="61" spans="1:13" ht="45.75">
      <c r="A61" s="82">
        <v>4</v>
      </c>
      <c r="B61" s="117" t="s">
        <v>147</v>
      </c>
      <c r="C61" s="148" t="s">
        <v>227</v>
      </c>
      <c r="D61" s="54"/>
      <c r="J61" s="82">
        <v>4</v>
      </c>
      <c r="K61" s="117" t="s">
        <v>147</v>
      </c>
      <c r="L61" s="50"/>
      <c r="M61" s="54"/>
    </row>
    <row r="62" spans="1:13" ht="151.5">
      <c r="A62" s="82">
        <v>5</v>
      </c>
      <c r="B62" s="117" t="s">
        <v>149</v>
      </c>
      <c r="C62" s="50" t="s">
        <v>228</v>
      </c>
      <c r="D62" s="50"/>
      <c r="J62" s="82">
        <v>5</v>
      </c>
      <c r="K62" s="117" t="s">
        <v>149</v>
      </c>
      <c r="L62" s="50" t="s">
        <v>229</v>
      </c>
      <c r="M62" s="50"/>
    </row>
    <row r="63" spans="1:13" ht="15">
      <c r="A63" s="82">
        <v>6</v>
      </c>
      <c r="B63" s="117" t="s">
        <v>152</v>
      </c>
      <c r="C63" s="135">
        <v>30000000</v>
      </c>
      <c r="D63" s="135">
        <v>150000</v>
      </c>
      <c r="J63" s="82">
        <v>6</v>
      </c>
      <c r="K63" s="117" t="s">
        <v>152</v>
      </c>
      <c r="L63" s="51"/>
      <c r="M63" s="51"/>
    </row>
    <row r="64" spans="1:13" ht="15">
      <c r="A64" s="82">
        <v>7</v>
      </c>
      <c r="B64" s="117" t="s">
        <v>153</v>
      </c>
      <c r="C64" s="82" t="s">
        <v>230</v>
      </c>
      <c r="D64" s="51"/>
      <c r="J64" s="82">
        <v>7</v>
      </c>
      <c r="K64" s="117" t="s">
        <v>153</v>
      </c>
      <c r="L64" s="51" t="s">
        <v>231</v>
      </c>
      <c r="M64" s="51"/>
    </row>
  </sheetData>
  <mergeCells count="16">
    <mergeCell ref="J56:M56"/>
    <mergeCell ref="A45:D45"/>
    <mergeCell ref="A56:D56"/>
    <mergeCell ref="A1:D1"/>
    <mergeCell ref="A12:D12"/>
    <mergeCell ref="J12:M12"/>
    <mergeCell ref="A22:D22"/>
    <mergeCell ref="J22:M22"/>
    <mergeCell ref="E1:L1"/>
    <mergeCell ref="E14:E20"/>
    <mergeCell ref="F14:G20"/>
    <mergeCell ref="E24:E31"/>
    <mergeCell ref="F24:G31"/>
    <mergeCell ref="A34:D34"/>
    <mergeCell ref="J34:M34"/>
    <mergeCell ref="J45:M4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3FB587ACBE4842A0FFB3DA72C43B8F" ma:contentTypeVersion="16" ma:contentTypeDescription="Create a new document." ma:contentTypeScope="" ma:versionID="338f09cd18776a8b31154edd83fa430e">
  <xsd:schema xmlns:xsd="http://www.w3.org/2001/XMLSchema" xmlns:xs="http://www.w3.org/2001/XMLSchema" xmlns:p="http://schemas.microsoft.com/office/2006/metadata/properties" xmlns:ns2="96f150f2-a6b5-4779-ac10-71e23226ba94" xmlns:ns3="b51ecae0-c6ab-4318-8087-bc30373d86da" targetNamespace="http://schemas.microsoft.com/office/2006/metadata/properties" ma:root="true" ma:fieldsID="ce22bddbcc2149cefb4deab91ad205de" ns2:_="" ns3:_="">
    <xsd:import namespace="96f150f2-a6b5-4779-ac10-71e23226ba94"/>
    <xsd:import namespace="b51ecae0-c6ab-4318-8087-bc30373d86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f150f2-a6b5-4779-ac10-71e23226ba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3e14b47-9f23-4fc4-9fcf-462ad32a19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1ecae0-c6ab-4318-8087-bc30373d86d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15bdc25-9b70-4b0f-912a-2b6067cb5327}" ma:internalName="TaxCatchAll" ma:showField="CatchAllData" ma:web="b51ecae0-c6ab-4318-8087-bc30373d86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51ecae0-c6ab-4318-8087-bc30373d86da" xsi:nil="true"/>
    <lcf76f155ced4ddcb4097134ff3c332f xmlns="96f150f2-a6b5-4779-ac10-71e23226ba9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10F25AB-2748-4611-B9C8-EC8C3F573E8A}"/>
</file>

<file path=customXml/itemProps2.xml><?xml version="1.0" encoding="utf-8"?>
<ds:datastoreItem xmlns:ds="http://schemas.openxmlformats.org/officeDocument/2006/customXml" ds:itemID="{899BB151-9835-41C2-A501-4D3FD46E55F2}"/>
</file>

<file path=customXml/itemProps3.xml><?xml version="1.0" encoding="utf-8"?>
<ds:datastoreItem xmlns:ds="http://schemas.openxmlformats.org/officeDocument/2006/customXml" ds:itemID="{6BD5FC1F-7E33-4C3A-9514-8BC1360640C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Nguyen Tho Tri Duc</dc:creator>
  <cp:keywords/>
  <dc:description/>
  <cp:lastModifiedBy/>
  <cp:revision/>
  <dcterms:created xsi:type="dcterms:W3CDTF">2015-06-05T18:17:20Z</dcterms:created>
  <dcterms:modified xsi:type="dcterms:W3CDTF">2026-04-23T06:03:33Z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0x010100523FB587ACBE4842A0FFB3DA72C43B8F</vt:lpwstr>
  </property>
</Properties>
</file>