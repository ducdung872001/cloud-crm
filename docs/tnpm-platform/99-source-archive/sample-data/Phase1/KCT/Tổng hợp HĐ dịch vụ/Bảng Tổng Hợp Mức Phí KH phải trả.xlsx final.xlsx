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ducntt1\Desktop\Timi\Tổng hợp căn cứ tính PDV cho KH\"/>
    </mc:Choice>
  </mc:AlternateContent>
  <xr:revisionPtr revIDLastSave="305" documentId="13_ncr:1_{1A5D576C-1954-45D5-83D6-C04FE8618113}" xr6:coauthVersionLast="47" xr6:coauthVersionMax="47" xr10:uidLastSave="{848BDFE2-01C3-4EC5-ACB5-E8825AB97938}"/>
  <bookViews>
    <workbookView xWindow="-108" yWindow="-108" windowWidth="23256" windowHeight="12456" xr2:uid="{00000000-000D-0000-FFFF-FFFF00000000}"/>
  </bookViews>
  <sheets>
    <sheet name="Đơn giá điện" sheetId="3" r:id="rId1"/>
    <sheet name="Đơn giá PDV khác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4" l="1"/>
  <c r="F12" i="4"/>
  <c r="H12" i="4" s="1"/>
  <c r="P46" i="3"/>
  <c r="P47" i="3"/>
  <c r="P48" i="3"/>
  <c r="N42" i="3"/>
  <c r="N43" i="3"/>
  <c r="N44" i="3"/>
  <c r="N45" i="3"/>
  <c r="N41" i="3"/>
  <c r="O19" i="3"/>
  <c r="P19" i="3" s="1"/>
  <c r="K34" i="3"/>
  <c r="L34" i="3"/>
  <c r="S34" i="3"/>
  <c r="T34" i="3"/>
  <c r="K35" i="3"/>
  <c r="L35" i="3"/>
  <c r="S35" i="3"/>
  <c r="T35" i="3"/>
  <c r="K36" i="3"/>
  <c r="L36" i="3"/>
  <c r="S36" i="3"/>
  <c r="T36" i="3"/>
  <c r="P31" i="3"/>
  <c r="O33" i="3"/>
  <c r="P33" i="3" s="1"/>
  <c r="O32" i="3"/>
  <c r="P32" i="3" s="1"/>
  <c r="L31" i="3"/>
  <c r="L32" i="3"/>
  <c r="L33" i="3"/>
  <c r="G32" i="3"/>
  <c r="H32" i="3" s="1"/>
  <c r="G33" i="3"/>
  <c r="H33" i="3" s="1"/>
  <c r="G31" i="3"/>
  <c r="H31" i="3" s="1"/>
  <c r="K11" i="4"/>
  <c r="O11" i="4" s="1"/>
  <c r="N10" i="4"/>
  <c r="J10" i="4"/>
  <c r="N9" i="4"/>
  <c r="O9" i="4" s="1"/>
  <c r="K8" i="4"/>
  <c r="N8" i="4" s="1"/>
  <c r="O8" i="4" s="1"/>
  <c r="J7" i="4"/>
  <c r="K7" i="4" s="1"/>
  <c r="F7" i="4"/>
  <c r="H7" i="4" s="1"/>
  <c r="K6" i="4"/>
  <c r="N6" i="4" s="1"/>
  <c r="H6" i="4"/>
  <c r="F6" i="4"/>
  <c r="K5" i="4"/>
  <c r="F5" i="4"/>
  <c r="H5" i="4" s="1"/>
  <c r="K4" i="4"/>
  <c r="F4" i="4"/>
  <c r="H4" i="4" s="1"/>
  <c r="K3" i="4"/>
  <c r="N3" i="4" s="1"/>
  <c r="O3" i="4" s="1"/>
  <c r="F3" i="4"/>
  <c r="H3" i="4" s="1"/>
  <c r="S30" i="3"/>
  <c r="O30" i="3"/>
  <c r="P30" i="3" s="1"/>
  <c r="K30" i="3"/>
  <c r="J30" i="3"/>
  <c r="H30" i="3"/>
  <c r="S29" i="3"/>
  <c r="O29" i="3"/>
  <c r="P29" i="3" s="1"/>
  <c r="K29" i="3"/>
  <c r="J29" i="3"/>
  <c r="H29" i="3"/>
  <c r="S28" i="3"/>
  <c r="T28" i="3" s="1"/>
  <c r="K28" i="3"/>
  <c r="L28" i="3" s="1"/>
  <c r="I28" i="3"/>
  <c r="H28" i="3"/>
  <c r="S27" i="3"/>
  <c r="T27" i="3" s="1"/>
  <c r="K27" i="3"/>
  <c r="L27" i="3" s="1"/>
  <c r="I27" i="3"/>
  <c r="H27" i="3"/>
  <c r="S26" i="3"/>
  <c r="T26" i="3" s="1"/>
  <c r="K26" i="3"/>
  <c r="L26" i="3" s="1"/>
  <c r="I26" i="3"/>
  <c r="H26" i="3"/>
  <c r="S25" i="3"/>
  <c r="O25" i="3"/>
  <c r="P25" i="3" s="1"/>
  <c r="K25" i="3"/>
  <c r="J25" i="3"/>
  <c r="H25" i="3"/>
  <c r="S24" i="3"/>
  <c r="O24" i="3"/>
  <c r="P24" i="3" s="1"/>
  <c r="K24" i="3"/>
  <c r="J24" i="3"/>
  <c r="H24" i="3"/>
  <c r="S23" i="3"/>
  <c r="T23" i="3" s="1"/>
  <c r="K23" i="3"/>
  <c r="L23" i="3" s="1"/>
  <c r="I23" i="3"/>
  <c r="H23" i="3"/>
  <c r="S22" i="3"/>
  <c r="T22" i="3" s="1"/>
  <c r="K22" i="3"/>
  <c r="L22" i="3" s="1"/>
  <c r="I22" i="3"/>
  <c r="H22" i="3"/>
  <c r="S21" i="3"/>
  <c r="T21" i="3" s="1"/>
  <c r="K21" i="3"/>
  <c r="L21" i="3" s="1"/>
  <c r="I21" i="3"/>
  <c r="H21" i="3"/>
  <c r="S20" i="3"/>
  <c r="O20" i="3"/>
  <c r="P20" i="3" s="1"/>
  <c r="K20" i="3"/>
  <c r="J20" i="3"/>
  <c r="H20" i="3"/>
  <c r="S18" i="3"/>
  <c r="O18" i="3"/>
  <c r="P18" i="3" s="1"/>
  <c r="K18" i="3"/>
  <c r="J18" i="3"/>
  <c r="H18" i="3"/>
  <c r="S17" i="3"/>
  <c r="T17" i="3" s="1"/>
  <c r="K17" i="3"/>
  <c r="L17" i="3" s="1"/>
  <c r="I17" i="3"/>
  <c r="H17" i="3"/>
  <c r="S16" i="3"/>
  <c r="T16" i="3" s="1"/>
  <c r="K16" i="3"/>
  <c r="L16" i="3" s="1"/>
  <c r="I16" i="3"/>
  <c r="H16" i="3"/>
  <c r="S15" i="3"/>
  <c r="T15" i="3" s="1"/>
  <c r="K15" i="3"/>
  <c r="L15" i="3" s="1"/>
  <c r="I15" i="3"/>
  <c r="H15" i="3"/>
  <c r="S14" i="3"/>
  <c r="O14" i="3"/>
  <c r="P14" i="3" s="1"/>
  <c r="K14" i="3"/>
  <c r="J14" i="3"/>
  <c r="H14" i="3"/>
  <c r="S13" i="3"/>
  <c r="O13" i="3"/>
  <c r="K13" i="3"/>
  <c r="J13" i="3"/>
  <c r="H13" i="3"/>
  <c r="S12" i="3"/>
  <c r="T12" i="3" s="1"/>
  <c r="K12" i="3"/>
  <c r="L12" i="3" s="1"/>
  <c r="I12" i="3"/>
  <c r="H12" i="3"/>
  <c r="S11" i="3"/>
  <c r="T11" i="3" s="1"/>
  <c r="K11" i="3"/>
  <c r="L11" i="3" s="1"/>
  <c r="I11" i="3"/>
  <c r="H11" i="3"/>
  <c r="S10" i="3"/>
  <c r="T10" i="3" s="1"/>
  <c r="K10" i="3"/>
  <c r="L10" i="3" s="1"/>
  <c r="I10" i="3"/>
  <c r="H10" i="3"/>
  <c r="T9" i="3"/>
  <c r="P9" i="3"/>
  <c r="N8" i="3"/>
  <c r="O8" i="3" s="1"/>
  <c r="P8" i="3" s="1"/>
  <c r="L8" i="3"/>
  <c r="S7" i="3"/>
  <c r="O7" i="3"/>
  <c r="P7" i="3" s="1"/>
  <c r="K7" i="3"/>
  <c r="J7" i="3"/>
  <c r="H7" i="3"/>
  <c r="G150" i="3"/>
  <c r="I150" i="3" s="1"/>
  <c r="G149" i="3"/>
  <c r="I149" i="3" s="1"/>
  <c r="G147" i="3"/>
  <c r="I147" i="3" s="1"/>
  <c r="I146" i="3" s="1"/>
  <c r="G145" i="3"/>
  <c r="I145" i="3" s="1"/>
  <c r="I144" i="3" s="1"/>
  <c r="G143" i="3"/>
  <c r="I143" i="3" s="1"/>
  <c r="G142" i="3"/>
  <c r="I142" i="3" s="1"/>
  <c r="G140" i="3"/>
  <c r="I140" i="3" s="1"/>
  <c r="I139" i="3" s="1"/>
  <c r="K125" i="3"/>
  <c r="G121" i="3"/>
  <c r="I121" i="3" s="1"/>
  <c r="I122" i="3" s="1"/>
  <c r="G119" i="3"/>
  <c r="I119" i="3" s="1"/>
  <c r="G118" i="3"/>
  <c r="I118" i="3" s="1"/>
  <c r="G117" i="3"/>
  <c r="I117" i="3" s="1"/>
  <c r="G116" i="3"/>
  <c r="I116" i="3" s="1"/>
  <c r="G115" i="3"/>
  <c r="I115" i="3" s="1"/>
  <c r="G114" i="3"/>
  <c r="I114" i="3" s="1"/>
  <c r="G113" i="3"/>
  <c r="I113" i="3" s="1"/>
  <c r="G112" i="3"/>
  <c r="I112" i="3" s="1"/>
  <c r="G111" i="3"/>
  <c r="I111" i="3" s="1"/>
  <c r="G110" i="3"/>
  <c r="I110" i="3" s="1"/>
  <c r="G109" i="3"/>
  <c r="I109" i="3" s="1"/>
  <c r="G108" i="3"/>
  <c r="I108" i="3" s="1"/>
  <c r="G107" i="3"/>
  <c r="I107" i="3" s="1"/>
  <c r="G106" i="3"/>
  <c r="I106" i="3" s="1"/>
  <c r="G105" i="3"/>
  <c r="I105" i="3" s="1"/>
  <c r="G104" i="3"/>
  <c r="I104" i="3" s="1"/>
  <c r="G103" i="3"/>
  <c r="I103" i="3" s="1"/>
  <c r="G102" i="3"/>
  <c r="I102" i="3" s="1"/>
  <c r="G100" i="3"/>
  <c r="I100" i="3" s="1"/>
  <c r="G99" i="3"/>
  <c r="I99" i="3" s="1"/>
  <c r="G98" i="3"/>
  <c r="I98" i="3" s="1"/>
  <c r="G96" i="3"/>
  <c r="I96" i="3" s="1"/>
  <c r="I95" i="3" s="1"/>
  <c r="G94" i="3"/>
  <c r="I94" i="3" s="1"/>
  <c r="G93" i="3"/>
  <c r="I93" i="3" s="1"/>
  <c r="G91" i="3"/>
  <c r="I91" i="3" s="1"/>
  <c r="G90" i="3"/>
  <c r="I90" i="3" s="1"/>
  <c r="N12" i="4" l="1"/>
  <c r="O12" i="4" s="1"/>
  <c r="O41" i="3"/>
  <c r="P41" i="3" s="1"/>
  <c r="O45" i="3"/>
  <c r="P45" i="3" s="1"/>
  <c r="O44" i="3"/>
  <c r="P44" i="3" s="1"/>
  <c r="O43" i="3"/>
  <c r="P43" i="3" s="1"/>
  <c r="O42" i="3"/>
  <c r="P42" i="3" s="1"/>
  <c r="L30" i="3"/>
  <c r="L13" i="3"/>
  <c r="L20" i="3"/>
  <c r="O10" i="4"/>
  <c r="O6" i="4"/>
  <c r="N4" i="4"/>
  <c r="O4" i="4" s="1"/>
  <c r="N7" i="4"/>
  <c r="O7" i="4" s="1"/>
  <c r="N5" i="4"/>
  <c r="O5" i="4" s="1"/>
  <c r="T13" i="3"/>
  <c r="T30" i="3"/>
  <c r="T20" i="3"/>
  <c r="L18" i="3"/>
  <c r="L25" i="3"/>
  <c r="T14" i="3"/>
  <c r="I89" i="3"/>
  <c r="L7" i="3"/>
  <c r="L29" i="3"/>
  <c r="L24" i="3"/>
  <c r="T29" i="3"/>
  <c r="T18" i="3"/>
  <c r="T24" i="3"/>
  <c r="T25" i="3"/>
  <c r="T7" i="3"/>
  <c r="L14" i="3"/>
  <c r="P13" i="3"/>
  <c r="S8" i="3"/>
  <c r="T8" i="3" s="1"/>
  <c r="I141" i="3"/>
  <c r="I148" i="3"/>
  <c r="I151" i="3" s="1"/>
  <c r="I152" i="3" s="1"/>
  <c r="I153" i="3" s="1"/>
  <c r="I97" i="3"/>
  <c r="I92" i="3"/>
  <c r="I101" i="3"/>
  <c r="I123" i="3" l="1"/>
  <c r="I126" i="3" s="1"/>
  <c r="I124" i="3" l="1"/>
  <c r="I125" i="3" s="1"/>
  <c r="I80" i="3"/>
  <c r="K80" i="3" s="1"/>
  <c r="E80" i="3"/>
  <c r="G80" i="3" s="1"/>
  <c r="I78" i="3"/>
  <c r="K78" i="3" s="1"/>
  <c r="E78" i="3"/>
  <c r="G78" i="3" s="1"/>
  <c r="I77" i="3"/>
  <c r="K77" i="3" s="1"/>
  <c r="E77" i="3"/>
  <c r="G77" i="3" s="1"/>
  <c r="I76" i="3"/>
  <c r="E76" i="3"/>
  <c r="C74" i="3"/>
  <c r="I74" i="3" s="1"/>
  <c r="K74" i="3" s="1"/>
  <c r="C73" i="3"/>
  <c r="E73" i="3" s="1"/>
  <c r="G73" i="3" s="1"/>
  <c r="C72" i="3"/>
  <c r="I72" i="3" s="1"/>
  <c r="E79" i="3" l="1"/>
  <c r="I79" i="3"/>
  <c r="I73" i="3"/>
  <c r="K73" i="3" s="1"/>
  <c r="J72" i="3"/>
  <c r="J75" i="3" s="1"/>
  <c r="F76" i="3"/>
  <c r="F79" i="3" s="1"/>
  <c r="E72" i="3"/>
  <c r="E74" i="3"/>
  <c r="G74" i="3" s="1"/>
  <c r="J76" i="3"/>
  <c r="J79" i="3" s="1"/>
  <c r="I75" i="3" l="1"/>
  <c r="K76" i="3"/>
  <c r="K79" i="3" s="1"/>
  <c r="G76" i="3"/>
  <c r="G79" i="3" s="1"/>
  <c r="K72" i="3"/>
  <c r="K75" i="3" s="1"/>
  <c r="E75" i="3"/>
  <c r="F72" i="3"/>
  <c r="F75" i="3" s="1"/>
  <c r="G72" i="3" l="1"/>
  <c r="G7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tc={DBB74648-4060-4A8B-96FD-22F290028298}</author>
    <author>tc={AD9729A9-B1B3-4447-A860-57820B2F3E00}</author>
    <author>tc={DCAA48F8-BCA1-48A4-9A3C-1E08350C30FF}</author>
    <author>tc={3E851FB3-23DB-48F0-BBD0-572C6056ABE7}</author>
    <author>tc={5188991B-7361-4090-B9A0-05CA752FBD42}</author>
    <author>tc={8E592D66-0913-40F0-A699-368AB74F28C7}</author>
    <author>tc={A90D6DEE-68BD-4582-B6F3-0CF5977F8CEE}</author>
    <author>tc={4CED6ED6-0896-4725-BD04-710AFF7290F7}</author>
    <author>tc={5DAFAD26-2628-429F-814A-E8C84AFBCB70}</author>
    <author>tc={250AF598-B92A-4E41-8F5B-F728BB3E5F3C}</author>
    <author>tc={935355F5-7B83-4A15-A43F-FE6976B336B1}</author>
    <author>tc={42AA8A91-0C98-40EE-A174-0F60C730D35B}</author>
  </authors>
  <commentList>
    <comment ref="F34" authorId="0" shapeId="0" xr:uid="{DBB74648-4060-4A8B-96FD-22F290028298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G34" authorId="1" shapeId="0" xr:uid="{AD9729A9-B1B3-4447-A860-57820B2F3E00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H34" authorId="2" shapeId="0" xr:uid="{DCAA48F8-BCA1-48A4-9A3C-1E08350C30FF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F35" authorId="3" shapeId="0" xr:uid="{3E851FB3-23DB-48F0-BBD0-572C6056ABE7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G35" authorId="4" shapeId="0" xr:uid="{5188991B-7361-4090-B9A0-05CA752FBD42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H35" authorId="5" shapeId="0" xr:uid="{8E592D66-0913-40F0-A699-368AB74F28C7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F36" authorId="6" shapeId="0" xr:uid="{A90D6DEE-68BD-4582-B6F3-0CF5977F8CEE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G36" authorId="7" shapeId="0" xr:uid="{4CED6ED6-0896-4725-BD04-710AFF7290F7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H36" authorId="8" shapeId="0" xr:uid="{5DAFAD26-2628-429F-814A-E8C84AFBCB70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F37" authorId="9" shapeId="0" xr:uid="{250AF598-B92A-4E41-8F5B-F728BB3E5F3C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G37" authorId="10" shapeId="0" xr:uid="{935355F5-7B83-4A15-A43F-FE6976B336B1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H37" authorId="11" shapeId="0" xr:uid="{42AA8A91-0C98-40EE-A174-0F60C730D35B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</commentList>
</comments>
</file>

<file path=xl/sharedStrings.xml><?xml version="1.0" encoding="utf-8"?>
<sst xmlns="http://schemas.openxmlformats.org/spreadsheetml/2006/main" count="563" uniqueCount="258">
  <si>
    <t>Đơn giá Điện</t>
  </si>
  <si>
    <t>TT</t>
  </si>
  <si>
    <t>TTTM/ VP</t>
  </si>
  <si>
    <t>Đơn vị xuất hóa đơn</t>
  </si>
  <si>
    <t>Gian hàng</t>
  </si>
  <si>
    <t>Phân loại</t>
  </si>
  <si>
    <t>Đơn giá trước ngày 10/05/2025 (Đơn giá chưa bao gồm VAT)</t>
  </si>
  <si>
    <t>Đơn giá từ ngày 10/05/2025 (Đơn giá chưa bao gồm VAT)</t>
  </si>
  <si>
    <t>Đơn giá phân tách từ tháng 01/2026</t>
  </si>
  <si>
    <t>Ghi chú</t>
  </si>
  <si>
    <t>Đơn giá theo quy định (VNĐ)</t>
  </si>
  <si>
    <t>Hao tổn (VNĐ/KW)</t>
  </si>
  <si>
    <t>Tổng đơn giá (VNĐ)</t>
  </si>
  <si>
    <t>% điều chỉnh (VNĐ/KW)</t>
  </si>
  <si>
    <t>Hao tổn 10% (VNĐ/KW)</t>
  </si>
  <si>
    <t>Thuế suất đơn giá điện áp dụng</t>
  </si>
  <si>
    <t>Thuế suất phí hao tổn/ phí dịch vụ áp dụng</t>
  </si>
  <si>
    <t>TGV</t>
  </si>
  <si>
    <t>TNPM</t>
  </si>
  <si>
    <t>Tất cả các gian hàng</t>
  </si>
  <si>
    <t>Đơn giá áp dụng</t>
  </si>
  <si>
    <t>Tăng theo tỷ lệ 4.8%</t>
  </si>
  <si>
    <t>Điện điều hòa ngoài giờ</t>
  </si>
  <si>
    <t xml:space="preserve">Phí dịch vụ vận hành điều hòa ngoài giờ </t>
  </si>
  <si>
    <t>GSS</t>
  </si>
  <si>
    <t>Giờ thấp điểm</t>
  </si>
  <si>
    <t>Đơn giá điện lực mục 3.3</t>
  </si>
  <si>
    <t>Giờ bình thường</t>
  </si>
  <si>
    <t>Giờ cao điểm</t>
  </si>
  <si>
    <t>Khách hàng đặc thù (Trường học)</t>
  </si>
  <si>
    <t>Điện bảng biển quảng cáo và một số gian hàng</t>
  </si>
  <si>
    <t>GMC</t>
  </si>
  <si>
    <t>Đơn giá theo PLHĐ ký với ĐL  từ 15/4/2026 (Dự kiến áp dụng từ hóa đơn Tháng 5/2026)</t>
  </si>
  <si>
    <t>Điện bảng biển quảng cáo và mộtsố gian hàng</t>
  </si>
  <si>
    <t>GSC</t>
  </si>
  <si>
    <t>Các KH lớn (Siêu thị, LX, Amis, PHD, Hanosimex, gym)</t>
  </si>
  <si>
    <t>GH nhỏ (Hoa quả và Hiệu Thuốc)</t>
  </si>
  <si>
    <t>BTT</t>
  </si>
  <si>
    <t>Tất cả các gian hàng khác (trừ Co.op Mart và Vinfast)</t>
  </si>
  <si>
    <t>Điện bảng biển quảng cáo</t>
  </si>
  <si>
    <t>Điện một số gian hàng công và khách lẻ</t>
  </si>
  <si>
    <t>NCT</t>
  </si>
  <si>
    <t>Điện bình thường</t>
  </si>
  <si>
    <t>Điện điều hoà ngoài giờ (KH KIS L3 - hệ thống VRV)</t>
  </si>
  <si>
    <t>Điều điều hoà ngoài giờ (các KH còn lại - hệ thống Chiller)</t>
  </si>
  <si>
    <t>GMCC</t>
  </si>
  <si>
    <t>Tất cả (VP, TTTM)</t>
  </si>
  <si>
    <t>ĐH ngoài giờ</t>
  </si>
  <si>
    <t xml:space="preserve">Theo văn bản đã phê duyệt </t>
  </si>
  <si>
    <t>Khối đế 54ANCT</t>
  </si>
  <si>
    <t>TTTM</t>
  </si>
  <si>
    <t>88 LH</t>
  </si>
  <si>
    <t xml:space="preserve">                             -  </t>
  </si>
  <si>
    <t xml:space="preserve"> Tăng theo tỷ lệ 4.8% </t>
  </si>
  <si>
    <t>Tầng 8 Công ty Cơ điện Công trình</t>
  </si>
  <si>
    <t>Công tơ Tổng</t>
  </si>
  <si>
    <t>Công tơ điện ĐH</t>
  </si>
  <si>
    <t xml:space="preserve"> Đơn giá điện lực mục 3.3 </t>
  </si>
  <si>
    <t>90 ĐL</t>
  </si>
  <si>
    <t>54A NCT</t>
  </si>
  <si>
    <t xml:space="preserve">                               -  </t>
  </si>
  <si>
    <t xml:space="preserve"> Đơn giá điện lực mục 3.3 (cộng hao tổn 10%) </t>
  </si>
  <si>
    <t>Điện 01 giá (quảng cáo, server,…)</t>
  </si>
  <si>
    <t>Dành cho KH đăng ký sử dụng ĐH</t>
  </si>
  <si>
    <t>Phí ngoài giờ</t>
  </si>
  <si>
    <t>Dành cho KH đăng ký quạt hút mùi nhà vệ sinh</t>
  </si>
  <si>
    <t>Dành cho KH đăng ký hệ thống chiếu sáng khu vực công cộng</t>
  </si>
  <si>
    <t>Dành cho KH đăng ký vận hànhhệ thống cấp tươi</t>
  </si>
  <si>
    <t>Dành cho MSB đăng ký điều hòa ngoài giờ (06 tầng)</t>
  </si>
  <si>
    <t>Chi phí điện 1 giá áp dụng cho BQL ROX Tower GMC, BQL ROX Center 90DL</t>
  </si>
  <si>
    <t>STT</t>
  </si>
  <si>
    <t>Hạng Mục</t>
  </si>
  <si>
    <t xml:space="preserve">Phân Loại </t>
  </si>
  <si>
    <t>Đơn vị Tính</t>
  </si>
  <si>
    <t xml:space="preserve">Giá đề xuất phê duyệt </t>
  </si>
  <si>
    <t xml:space="preserve">Diễn Giải </t>
  </si>
  <si>
    <t xml:space="preserve">Biểu phí điện 1 giá </t>
  </si>
  <si>
    <t>Đơn giá trung bình</t>
  </si>
  <si>
    <t>VND/kw</t>
  </si>
  <si>
    <t>Đơn giá trung bình của giờ cao điểm + Bình thường</t>
  </si>
  <si>
    <t>Đơn giá tăng tỉ lệ thuận theo đơn giá tăng của điện lực</t>
  </si>
  <si>
    <t>Đơn giá điện ngoài giời TGV</t>
  </si>
  <si>
    <t>Công suất</t>
  </si>
  <si>
    <t>Thành tiền giá bán (VNĐ)</t>
  </si>
  <si>
    <t xml:space="preserve">Điện điều hòa FCU ngoài giờ </t>
  </si>
  <si>
    <t>Điện</t>
  </si>
  <si>
    <t>Nước</t>
  </si>
  <si>
    <t>FCU</t>
  </si>
  <si>
    <t xml:space="preserve">Điện điều hòa AHU ngoài giờ </t>
  </si>
  <si>
    <t>Điện đèn thang cuốn ngoài giờ</t>
  </si>
  <si>
    <t>BẢNG TỔNG TÍNH GIÁ VỐN VẬN HÀNH NGOÀI GIỜ ROX TOWER GMC</t>
  </si>
  <si>
    <t>Hạng mục</t>
  </si>
  <si>
    <t>Số lượng</t>
  </si>
  <si>
    <t>Công suất điện (kw)</t>
  </si>
  <si>
    <t>Hệ số  công suất</t>
  </si>
  <si>
    <t>Thời gian VH ngoài giờ(h)</t>
  </si>
  <si>
    <t>Tổng CS điện tiêu thụ (kwh)</t>
  </si>
  <si>
    <t>Thành tiền/ giờ</t>
  </si>
  <si>
    <t>A</t>
  </si>
  <si>
    <t>Điện công cộng</t>
  </si>
  <si>
    <t>Đèn Dowline 9 W</t>
  </si>
  <si>
    <t>Đèn ốp trần 15W</t>
  </si>
  <si>
    <t>B</t>
  </si>
  <si>
    <t xml:space="preserve">Quạt Hút </t>
  </si>
  <si>
    <t xml:space="preserve">Hút mùi ẩm thực </t>
  </si>
  <si>
    <t>Hút mùi vệ sinh</t>
  </si>
  <si>
    <t>C</t>
  </si>
  <si>
    <t>Khí tươi</t>
  </si>
  <si>
    <t>Pau  210kW</t>
  </si>
  <si>
    <t>D</t>
  </si>
  <si>
    <t xml:space="preserve">Thang máy </t>
  </si>
  <si>
    <t xml:space="preserve">Thang cuốn </t>
  </si>
  <si>
    <t xml:space="preserve">Thang  nâng hàng </t>
  </si>
  <si>
    <t>E</t>
  </si>
  <si>
    <t>Chi phí điện điều hòa ngoài giờ</t>
  </si>
  <si>
    <t>Chiller</t>
  </si>
  <si>
    <t xml:space="preserve">Bơm nước lạnh sơ cấp </t>
  </si>
  <si>
    <t xml:space="preserve">Bơm lạnh thứ cấp </t>
  </si>
  <si>
    <t xml:space="preserve">Bơm lạnh trục cao tầng </t>
  </si>
  <si>
    <t>Bơm tháp giải nhiệt</t>
  </si>
  <si>
    <t>Quạt Tháp giải nhiệt</t>
  </si>
  <si>
    <t>Bơm bù nước tháp</t>
  </si>
  <si>
    <t>FCU hành lang 4.3 Kw</t>
  </si>
  <si>
    <t>FCU hành lang  20.1 kw</t>
  </si>
  <si>
    <t>FCU hành lang 5.64 KW</t>
  </si>
  <si>
    <t>FCU hành lang 7.91 KW</t>
  </si>
  <si>
    <t>FCU hành lang 9.94 KW</t>
  </si>
  <si>
    <t>FCU hành Lang 20.3 KW</t>
  </si>
  <si>
    <t>FCU hành lang 15.45 KW</t>
  </si>
  <si>
    <t>FCU Gian hàng  9.94 KW</t>
  </si>
  <si>
    <t>FCU Gian Hàng  15.45 KW</t>
  </si>
  <si>
    <t>FCU gian hàng  20.3 KW</t>
  </si>
  <si>
    <t>FCU gian hàng 7.91 KW</t>
  </si>
  <si>
    <t>Nước tháp giải nhiệt</t>
  </si>
  <si>
    <t>Số tháp giải nhiệt</t>
  </si>
  <si>
    <t>Lưu lượng nước qua dàn bay hơi chiller (m3/h)</t>
  </si>
  <si>
    <t>Hệ số công suất</t>
  </si>
  <si>
    <t>Số m3 nước cấp bù cho tháp giải nhiệt và khu WC (m3)</t>
  </si>
  <si>
    <t>Nước bù tháp giải nhiệt</t>
  </si>
  <si>
    <t>F</t>
  </si>
  <si>
    <t>Chi phí nước</t>
  </si>
  <si>
    <t>Tổng cộng</t>
  </si>
  <si>
    <t>CP quản lý + CP phân bổ</t>
  </si>
  <si>
    <t>TỔNG CHI PHÍ PDV Điện ngoài giờ (Bao gồm điện công cộng, quạt hút, thang máy, điều hoà)</t>
  </si>
  <si>
    <t>Số quản trị</t>
  </si>
  <si>
    <t>TỔNG CHI PHÍ PDV Điện ngoài giờ (Bao gồm điện công cộng, quạt hút, thang máy)</t>
  </si>
  <si>
    <t>=</t>
  </si>
  <si>
    <t>TỔNG CHI PHÍ điện chiếu sáng công cộng</t>
  </si>
  <si>
    <t>TỔNG CHI PHÍ điện quạt hút</t>
  </si>
  <si>
    <t>TỔNG CHI PHÍ điện khí tươi</t>
  </si>
  <si>
    <t>TỔNG CHI PHÍ điện thang máy</t>
  </si>
  <si>
    <t>BẢNG TỔNG TÍNH GIÁ VỐN VẬN HÀNH NGOÀI GIỜ 90ĐL</t>
  </si>
  <si>
    <t>Đèn chiếu sáng hành lang, sảnh thang máy thương mại, sảnh nhà vệ sinh</t>
  </si>
  <si>
    <t>Quạt thông gió nhà vệ sinh</t>
  </si>
  <si>
    <t>Đèn chiếu sáng nhà vệ sinh</t>
  </si>
  <si>
    <t>Thiết bị HRV</t>
  </si>
  <si>
    <t>Dàn nóng điều hòa 01</t>
  </si>
  <si>
    <t>Công suất  01 dàn lạnh</t>
  </si>
  <si>
    <t>Chốt làm tròn số quản trị</t>
  </si>
  <si>
    <t xml:space="preserve">Đơn giá Nước </t>
  </si>
  <si>
    <t>Trước 2026</t>
  </si>
  <si>
    <t>Bóc tách từ tháng 01/2026</t>
  </si>
  <si>
    <t>Dự án</t>
  </si>
  <si>
    <t>Mã SP</t>
  </si>
  <si>
    <t>Chỉ tiêu</t>
  </si>
  <si>
    <t>Đơn vị tính</t>
  </si>
  <si>
    <t>Đơn giá đã gồm hao tổn</t>
  </si>
  <si>
    <t>Phí bảo vệ MT</t>
  </si>
  <si>
    <t>Môi trường rừng</t>
  </si>
  <si>
    <t>Tổng đơn giá trước VAT/m2 nước</t>
  </si>
  <si>
    <t>Thuế suất</t>
  </si>
  <si>
    <t xml:space="preserve">Đơn giá theo quy định </t>
  </si>
  <si>
    <t>Phí DV Thoát nước</t>
  </si>
  <si>
    <t>Hao tổn 10% ( Nước +PBVMT)</t>
  </si>
  <si>
    <t>Thuế suất tiền nước</t>
  </si>
  <si>
    <t>Thuế suất phí Hao tổn</t>
  </si>
  <si>
    <t>NUOC</t>
  </si>
  <si>
    <t>Tiền nước</t>
  </si>
  <si>
    <t>m3</t>
  </si>
  <si>
    <t>phí BVMT 30%</t>
  </si>
  <si>
    <t>LIM</t>
  </si>
  <si>
    <t>21300 là đơn giá theo QĐ</t>
  </si>
  <si>
    <t>DV thoát nước 8%</t>
  </si>
  <si>
    <t>54ANCT</t>
  </si>
  <si>
    <t>Đơn giá rác</t>
  </si>
  <si>
    <t>Loại thùng</t>
  </si>
  <si>
    <t>Giá phí dịch vụ</t>
  </si>
  <si>
    <t>Đơn vị áp dung</t>
  </si>
  <si>
    <t>Ghi Chú</t>
  </si>
  <si>
    <t>Đơn vị ngoài</t>
  </si>
  <si>
    <t>60 Lít</t>
  </si>
  <si>
    <t>450,000 VNĐ/tháng</t>
  </si>
  <si>
    <t>400,000 VNĐ/tháng</t>
  </si>
  <si>
    <t>GSS, GSC, GMC</t>
  </si>
  <si>
    <t>Căn cứ theo tờ trình được duyệt</t>
  </si>
  <si>
    <t>120 Lít</t>
  </si>
  <si>
    <t>550,000 VNĐ/tháng</t>
  </si>
  <si>
    <t>500,000 VNĐ/tháng</t>
  </si>
  <si>
    <t>54A</t>
  </si>
  <si>
    <t>Đơn giá phí xe máy</t>
  </si>
  <si>
    <t>Đơn giá phí xe máy vãng lai</t>
  </si>
  <si>
    <t>Nội Dung</t>
  </si>
  <si>
    <t>Đã bao gồm VAT</t>
  </si>
  <si>
    <t>6h-21h59: 3.000đ/ lượt, 22h-05h59: 5.000đ/lượt, cả ngày và đêm: 8.000đ/01 ngày/đêm</t>
  </si>
  <si>
    <t>GMC S</t>
  </si>
  <si>
    <t>Từ 07h00 đến 21h59: 5.000 đ
Từ 22h00 đến 06h49 hôm sau: 5.000 đ</t>
  </si>
  <si>
    <t>GMC C</t>
  </si>
  <si>
    <t>trước 18h = 5000
sau 18h = 8000
Qua đêm = 30.000</t>
  </si>
  <si>
    <t>90ĐL</t>
  </si>
  <si>
    <t>Giờ HC</t>
  </si>
  <si>
    <t>Ngày đêm</t>
  </si>
  <si>
    <t>KH VP</t>
  </si>
  <si>
    <t>6h-18h: 3.000đ/ block 4h/ lượt, phí bồi hoàn 60.000đ</t>
  </si>
  <si>
    <t>Cư dân VHM</t>
  </si>
  <si>
    <t>18h01 - 6h00: 5.000đ/ lượt, phí bồi hoàn 30.000đ</t>
  </si>
  <si>
    <t>MSB</t>
  </si>
  <si>
    <t>Đơn giá phí xe đạp/đạp điện</t>
  </si>
  <si>
    <t>Đơn giá phí xe đạp/xe điện vãng lai</t>
  </si>
  <si>
    <t>Xe đạp điện</t>
  </si>
  <si>
    <t>Xe đạp
Từ 07h00 đến 21h59: 2.000 đ
Từ 22h00 đến 06h49 hôm sau: 3.000 đ</t>
  </si>
  <si>
    <t>Xe đạp</t>
  </si>
  <si>
    <t>Xe đạp điện/xe đạp</t>
  </si>
  <si>
    <t>6h-18h: 2.000đ/ lượt, phí bồi hoàn 30.000đ</t>
  </si>
  <si>
    <t>KH VP (xe đạp)</t>
  </si>
  <si>
    <t>18h01 - 6h00: 3.000đ/lượt, phí bồi hoàn 30.000đ</t>
  </si>
  <si>
    <t>Cư dân VHM (xe đạp)</t>
  </si>
  <si>
    <t>Gian hàng (xe đạp)</t>
  </si>
  <si>
    <t>MSB (xe đạp)</t>
  </si>
  <si>
    <t>Đơn giá phí xe oto</t>
  </si>
  <si>
    <t>Đơn giá phí xe ô tô vãng lai</t>
  </si>
  <si>
    <t>30,000 VNĐ/2h đầu
15,000 VNĐ/h tiếp theo</t>
  </si>
  <si>
    <t>GMC R</t>
  </si>
  <si>
    <t>Xe thứ 1</t>
  </si>
  <si>
    <t>Xe thứ 2</t>
  </si>
  <si>
    <t>30.000= 2h đầu 
15.000 = h tiếp theo 
qua đêm = 90.000</t>
  </si>
  <si>
    <t>KH ngoài</t>
  </si>
  <si>
    <t>6h-18h:  15.000đ/ block 1h/ lượt, phí bồi hoàn 120.000đ</t>
  </si>
  <si>
    <t>18h01 - 6h00: 15.000đ/ block 1h/ lượt, phí bồi hoàn 120.000đ</t>
  </si>
  <si>
    <t>Ngày đêm xe từ 1 đến 30</t>
  </si>
  <si>
    <t>Ngày đêm xe từ xe 31</t>
  </si>
  <si>
    <t>KH Ngoài</t>
  </si>
  <si>
    <t>Phí cọc thi công</t>
  </si>
  <si>
    <t>Tòa nhà</t>
  </si>
  <si>
    <t>Diện tích thuê</t>
  </si>
  <si>
    <t>Đặt cọc thi công</t>
  </si>
  <si>
    <t>Lệ phí thi công (không bao gồm điện, nước) áp dụng từ 1/4/2026</t>
  </si>
  <si>
    <t>&lt;100 m2</t>
  </si>
  <si>
    <t>20,000,000 VNĐ</t>
  </si>
  <si>
    <t>2,500 VNĐ/m2/ngày</t>
  </si>
  <si>
    <t>100-500 m2</t>
  </si>
  <si>
    <t>40,000,000 VNĐ</t>
  </si>
  <si>
    <t>500-1000 m2</t>
  </si>
  <si>
    <t>60,000,000 VNĐ</t>
  </si>
  <si>
    <t>&gt;1000 m2</t>
  </si>
  <si>
    <t>120,000,000 VNĐ</t>
  </si>
  <si>
    <t>VP</t>
  </si>
  <si>
    <t>Căn cứ theo thỏa thuận trong hợp đồng</t>
  </si>
  <si>
    <t>Phí thi công 1 ngày = 70% phí dịch vụ của tổng diện tích thuê/ngày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</si>
</sst>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theme="1"/>
      <name val="Times New Roman"/>
      <family val="1"/>
      <charset val="163"/>
    </font>
    <font>
      <sz val="10.5"/>
      <color theme="1"/>
      <name val="Times New Roman"/>
      <family val="1"/>
      <charset val="163"/>
    </font>
    <font>
      <b/>
      <sz val="10.5"/>
      <color rgb="FFFF0000"/>
      <name val="Times New Roman"/>
      <family val="1"/>
      <charset val="163"/>
    </font>
    <font>
      <b/>
      <i/>
      <sz val="10.5"/>
      <color theme="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0.5"/>
      <name val="Times New Roman"/>
      <family val="1"/>
      <charset val="163"/>
    </font>
    <font>
      <b/>
      <sz val="9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Arial"/>
    </font>
    <font>
      <sz val="9"/>
      <color rgb="FF000000"/>
      <name val="Arial"/>
    </font>
    <font>
      <sz val="8.5"/>
      <color rgb="FF000000"/>
      <name val="Arial"/>
    </font>
    <font>
      <sz val="11"/>
      <color rgb="FF000000"/>
      <name val="Calibri"/>
      <family val="2"/>
    </font>
    <font>
      <sz val="11"/>
      <color rgb="FF000000"/>
      <name val="Times New Roman"/>
      <family val="1"/>
      <charset val="163"/>
    </font>
    <font>
      <sz val="9"/>
      <color rgb="FF000000"/>
      <name val="Arial"/>
      <family val="2"/>
    </font>
    <font>
      <sz val="8.5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AE2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6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2" xfId="0" applyFont="1" applyFill="1" applyBorder="1"/>
    <xf numFmtId="165" fontId="2" fillId="3" borderId="2" xfId="1" applyNumberFormat="1" applyFont="1" applyFill="1" applyBorder="1" applyAlignment="1">
      <alignment vertical="center" wrapText="1"/>
    </xf>
    <xf numFmtId="166" fontId="2" fillId="0" borderId="0" xfId="0" applyNumberFormat="1" applyFont="1"/>
    <xf numFmtId="0" fontId="3" fillId="0" borderId="2" xfId="0" applyFont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vertical="center" wrapText="1"/>
    </xf>
    <xf numFmtId="166" fontId="3" fillId="4" borderId="2" xfId="0" applyNumberFormat="1" applyFont="1" applyFill="1" applyBorder="1"/>
    <xf numFmtId="166" fontId="3" fillId="4" borderId="2" xfId="1" applyNumberFormat="1" applyFont="1" applyFill="1" applyBorder="1" applyAlignment="1">
      <alignment vertical="center" wrapText="1"/>
    </xf>
    <xf numFmtId="165" fontId="3" fillId="4" borderId="2" xfId="1" applyNumberFormat="1" applyFont="1" applyFill="1" applyBorder="1" applyAlignment="1">
      <alignment vertical="center" wrapText="1"/>
    </xf>
    <xf numFmtId="166" fontId="3" fillId="0" borderId="0" xfId="0" applyNumberFormat="1" applyFont="1"/>
    <xf numFmtId="0" fontId="2" fillId="3" borderId="1" xfId="0" applyFont="1" applyFill="1" applyBorder="1"/>
    <xf numFmtId="0" fontId="2" fillId="3" borderId="2" xfId="0" applyFont="1" applyFill="1" applyBorder="1" applyAlignment="1">
      <alignment vertical="center" wrapText="1"/>
    </xf>
    <xf numFmtId="166" fontId="2" fillId="3" borderId="2" xfId="0" applyNumberFormat="1" applyFont="1" applyFill="1" applyBorder="1"/>
    <xf numFmtId="166" fontId="2" fillId="3" borderId="2" xfId="1" applyNumberFormat="1" applyFont="1" applyFill="1" applyBorder="1" applyAlignment="1">
      <alignment vertical="center" wrapText="1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65" fontId="2" fillId="3" borderId="1" xfId="1" applyNumberFormat="1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165" fontId="3" fillId="4" borderId="2" xfId="1" applyNumberFormat="1" applyFont="1" applyFill="1" applyBorder="1" applyAlignment="1">
      <alignment horizontal="right" vertical="center" wrapText="1"/>
    </xf>
    <xf numFmtId="166" fontId="3" fillId="4" borderId="2" xfId="1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43" fontId="3" fillId="0" borderId="2" xfId="1" applyFont="1" applyBorder="1" applyAlignment="1">
      <alignment vertical="center"/>
    </xf>
    <xf numFmtId="165" fontId="3" fillId="0" borderId="2" xfId="1" applyNumberFormat="1" applyFont="1" applyBorder="1" applyAlignment="1">
      <alignment vertical="center"/>
    </xf>
    <xf numFmtId="43" fontId="3" fillId="0" borderId="0" xfId="0" applyNumberFormat="1" applyFont="1"/>
    <xf numFmtId="165" fontId="8" fillId="3" borderId="2" xfId="0" applyNumberFormat="1" applyFont="1" applyFill="1" applyBorder="1" applyAlignment="1">
      <alignment vertical="center" wrapText="1"/>
    </xf>
    <xf numFmtId="165" fontId="2" fillId="3" borderId="2" xfId="0" applyNumberFormat="1" applyFont="1" applyFill="1" applyBorder="1" applyAlignment="1">
      <alignment vertical="center" wrapText="1"/>
    </xf>
    <xf numFmtId="9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3" borderId="0" xfId="1" applyNumberFormat="1" applyFont="1" applyFill="1"/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/>
    <xf numFmtId="0" fontId="9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Continuous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/>
    <xf numFmtId="165" fontId="10" fillId="0" borderId="2" xfId="1" applyNumberFormat="1" applyFont="1" applyBorder="1"/>
    <xf numFmtId="165" fontId="7" fillId="0" borderId="2" xfId="1" applyNumberFormat="1" applyFont="1" applyBorder="1"/>
    <xf numFmtId="0" fontId="10" fillId="0" borderId="2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165" fontId="7" fillId="0" borderId="0" xfId="1" applyNumberFormat="1" applyFont="1" applyBorder="1"/>
    <xf numFmtId="164" fontId="10" fillId="0" borderId="0" xfId="2" applyNumberFormat="1" applyFont="1"/>
    <xf numFmtId="0" fontId="12" fillId="0" borderId="0" xfId="0" applyFont="1" applyAlignment="1">
      <alignment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wrapText="1"/>
    </xf>
    <xf numFmtId="165" fontId="13" fillId="3" borderId="2" xfId="1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14" fillId="4" borderId="2" xfId="0" applyFont="1" applyFill="1" applyBorder="1" applyAlignment="1">
      <alignment horizontal="center" wrapText="1"/>
    </xf>
    <xf numFmtId="166" fontId="14" fillId="4" borderId="2" xfId="0" applyNumberFormat="1" applyFont="1" applyFill="1" applyBorder="1" applyAlignment="1">
      <alignment horizontal="center" wrapText="1"/>
    </xf>
    <xf numFmtId="166" fontId="14" fillId="4" borderId="2" xfId="1" applyNumberFormat="1" applyFont="1" applyFill="1" applyBorder="1" applyAlignment="1">
      <alignment horizontal="center" vertical="center" wrapText="1"/>
    </xf>
    <xf numFmtId="165" fontId="14" fillId="4" borderId="2" xfId="1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wrapText="1"/>
    </xf>
    <xf numFmtId="166" fontId="13" fillId="3" borderId="2" xfId="0" applyNumberFormat="1" applyFont="1" applyFill="1" applyBorder="1" applyAlignment="1">
      <alignment horizontal="center" wrapText="1"/>
    </xf>
    <xf numFmtId="166" fontId="13" fillId="3" borderId="2" xfId="1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3" fillId="3" borderId="1" xfId="0" applyFont="1" applyFill="1" applyBorder="1" applyAlignment="1">
      <alignment horizontal="center" vertical="center" wrapText="1"/>
    </xf>
    <xf numFmtId="165" fontId="13" fillId="3" borderId="1" xfId="1" applyNumberFormat="1" applyFont="1" applyFill="1" applyBorder="1" applyAlignment="1">
      <alignment horizontal="center" vertical="center" wrapText="1"/>
    </xf>
    <xf numFmtId="165" fontId="13" fillId="3" borderId="1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65" fontId="13" fillId="3" borderId="2" xfId="0" applyNumberFormat="1" applyFont="1" applyFill="1" applyBorder="1" applyAlignment="1">
      <alignment horizontal="center" vertical="center" wrapText="1"/>
    </xf>
    <xf numFmtId="9" fontId="10" fillId="0" borderId="0" xfId="0" applyNumberFormat="1" applyFont="1"/>
    <xf numFmtId="0" fontId="7" fillId="3" borderId="0" xfId="0" applyFont="1" applyFill="1"/>
    <xf numFmtId="165" fontId="7" fillId="3" borderId="0" xfId="1" applyNumberFormat="1" applyFont="1" applyFill="1"/>
    <xf numFmtId="165" fontId="13" fillId="3" borderId="13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16" fillId="0" borderId="0" xfId="0" applyFont="1"/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vertical="center" wrapText="1"/>
    </xf>
    <xf numFmtId="164" fontId="15" fillId="2" borderId="2" xfId="2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3" fontId="16" fillId="0" borderId="2" xfId="0" applyNumberFormat="1" applyFont="1" applyBorder="1" applyAlignment="1">
      <alignment horizontal="right" vertical="center" wrapText="1"/>
    </xf>
    <xf numFmtId="164" fontId="16" fillId="0" borderId="2" xfId="2" applyNumberFormat="1" applyFont="1" applyBorder="1" applyAlignment="1">
      <alignment horizontal="center" vertical="center" wrapText="1"/>
    </xf>
    <xf numFmtId="165" fontId="16" fillId="0" borderId="2" xfId="1" applyNumberFormat="1" applyFont="1" applyFill="1" applyBorder="1" applyAlignment="1">
      <alignment horizontal="center" vertical="center" wrapText="1"/>
    </xf>
    <xf numFmtId="165" fontId="16" fillId="6" borderId="2" xfId="1" applyNumberFormat="1" applyFont="1" applyFill="1" applyBorder="1" applyAlignment="1">
      <alignment horizontal="center" vertical="center" wrapText="1"/>
    </xf>
    <xf numFmtId="165" fontId="16" fillId="0" borderId="2" xfId="1" applyNumberFormat="1" applyFont="1" applyBorder="1" applyAlignment="1">
      <alignment horizontal="center" vertical="center" wrapText="1"/>
    </xf>
    <xf numFmtId="165" fontId="16" fillId="0" borderId="2" xfId="1" applyNumberFormat="1" applyFont="1" applyBorder="1" applyAlignment="1">
      <alignment horizontal="left" vertical="center"/>
    </xf>
    <xf numFmtId="9" fontId="16" fillId="0" borderId="2" xfId="2" applyFont="1" applyBorder="1" applyAlignment="1">
      <alignment horizontal="center" vertical="center" wrapText="1"/>
    </xf>
    <xf numFmtId="9" fontId="16" fillId="0" borderId="2" xfId="2" applyFont="1" applyBorder="1" applyAlignment="1">
      <alignment horizontal="center"/>
    </xf>
    <xf numFmtId="165" fontId="16" fillId="0" borderId="0" xfId="0" applyNumberFormat="1" applyFont="1"/>
    <xf numFmtId="0" fontId="16" fillId="0" borderId="1" xfId="0" applyFont="1" applyBorder="1" applyAlignment="1">
      <alignment vertical="center" wrapText="1"/>
    </xf>
    <xf numFmtId="165" fontId="16" fillId="0" borderId="2" xfId="1" applyNumberFormat="1" applyFont="1" applyFill="1" applyBorder="1" applyAlignment="1">
      <alignment horizontal="left" vertical="center"/>
    </xf>
    <xf numFmtId="9" fontId="16" fillId="0" borderId="2" xfId="2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left" vertical="center" indent="1"/>
    </xf>
    <xf numFmtId="0" fontId="18" fillId="0" borderId="2" xfId="0" applyFont="1" applyBorder="1"/>
    <xf numFmtId="0" fontId="18" fillId="0" borderId="0" xfId="0" applyFont="1"/>
    <xf numFmtId="0" fontId="19" fillId="9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vertical="center" wrapText="1"/>
    </xf>
    <xf numFmtId="0" fontId="20" fillId="10" borderId="2" xfId="0" applyFont="1" applyFill="1" applyBorder="1" applyAlignment="1">
      <alignment horizontal="center" vertical="center" wrapText="1"/>
    </xf>
    <xf numFmtId="165" fontId="20" fillId="0" borderId="2" xfId="1" applyNumberFormat="1" applyFont="1" applyBorder="1" applyAlignment="1">
      <alignment vertical="center"/>
    </xf>
    <xf numFmtId="9" fontId="20" fillId="0" borderId="2" xfId="0" applyNumberFormat="1" applyFont="1" applyBorder="1" applyAlignment="1">
      <alignment horizontal="right" vertical="center"/>
    </xf>
    <xf numFmtId="0" fontId="21" fillId="0" borderId="0" xfId="0" applyFont="1"/>
    <xf numFmtId="165" fontId="21" fillId="0" borderId="0" xfId="0" applyNumberFormat="1" applyFont="1"/>
    <xf numFmtId="0" fontId="10" fillId="0" borderId="14" xfId="0" applyFont="1" applyBorder="1" applyAlignment="1">
      <alignment horizontal="center" wrapText="1"/>
    </xf>
    <xf numFmtId="0" fontId="16" fillId="0" borderId="16" xfId="0" applyFont="1" applyBorder="1" applyAlignment="1">
      <alignment vertical="center" wrapText="1"/>
    </xf>
    <xf numFmtId="3" fontId="16" fillId="0" borderId="16" xfId="0" applyNumberFormat="1" applyFont="1" applyBorder="1" applyAlignment="1">
      <alignment horizontal="right" vertical="center" wrapText="1"/>
    </xf>
    <xf numFmtId="3" fontId="23" fillId="0" borderId="16" xfId="0" applyNumberFormat="1" applyFont="1" applyBorder="1" applyAlignment="1">
      <alignment horizontal="right" vertical="center" wrapText="1"/>
    </xf>
    <xf numFmtId="164" fontId="23" fillId="0" borderId="16" xfId="2" applyNumberFormat="1" applyFont="1" applyBorder="1" applyAlignment="1">
      <alignment horizontal="center" vertical="center" wrapText="1"/>
    </xf>
    <xf numFmtId="165" fontId="16" fillId="0" borderId="16" xfId="1" applyNumberFormat="1" applyFont="1" applyFill="1" applyBorder="1" applyAlignment="1">
      <alignment horizontal="center" vertical="center" wrapText="1"/>
    </xf>
    <xf numFmtId="9" fontId="16" fillId="0" borderId="16" xfId="2" applyFont="1" applyBorder="1" applyAlignment="1">
      <alignment horizontal="center" vertical="center" wrapText="1"/>
    </xf>
    <xf numFmtId="9" fontId="16" fillId="0" borderId="16" xfId="2" applyFont="1" applyBorder="1" applyAlignment="1">
      <alignment horizontal="center"/>
    </xf>
    <xf numFmtId="0" fontId="23" fillId="0" borderId="16" xfId="0" applyFont="1" applyBorder="1" applyAlignment="1">
      <alignment vertical="center" wrapText="1"/>
    </xf>
    <xf numFmtId="3" fontId="16" fillId="0" borderId="1" xfId="0" applyNumberFormat="1" applyFont="1" applyBorder="1" applyAlignment="1">
      <alignment horizontal="right" vertical="center" wrapText="1"/>
    </xf>
    <xf numFmtId="164" fontId="16" fillId="0" borderId="1" xfId="2" applyNumberFormat="1" applyFont="1" applyBorder="1" applyAlignment="1">
      <alignment horizontal="center" vertical="center" wrapText="1"/>
    </xf>
    <xf numFmtId="165" fontId="16" fillId="0" borderId="1" xfId="1" applyNumberFormat="1" applyFont="1" applyFill="1" applyBorder="1" applyAlignment="1">
      <alignment horizontal="center" vertical="center" wrapText="1"/>
    </xf>
    <xf numFmtId="165" fontId="16" fillId="6" borderId="1" xfId="1" applyNumberFormat="1" applyFont="1" applyFill="1" applyBorder="1" applyAlignment="1">
      <alignment horizontal="center" vertical="center" wrapText="1"/>
    </xf>
    <xf numFmtId="165" fontId="16" fillId="0" borderId="1" xfId="1" applyNumberFormat="1" applyFont="1" applyBorder="1" applyAlignment="1">
      <alignment horizontal="center" vertical="center" wrapText="1"/>
    </xf>
    <xf numFmtId="165" fontId="16" fillId="0" borderId="1" xfId="1" applyNumberFormat="1" applyFont="1" applyBorder="1" applyAlignment="1">
      <alignment horizontal="left" vertical="center"/>
    </xf>
    <xf numFmtId="9" fontId="16" fillId="0" borderId="1" xfId="2" applyFont="1" applyBorder="1" applyAlignment="1">
      <alignment horizontal="center" vertical="center" wrapText="1"/>
    </xf>
    <xf numFmtId="9" fontId="16" fillId="0" borderId="1" xfId="2" applyFont="1" applyBorder="1" applyAlignment="1">
      <alignment horizontal="center"/>
    </xf>
    <xf numFmtId="165" fontId="23" fillId="0" borderId="16" xfId="1" applyNumberFormat="1" applyFont="1" applyFill="1" applyBorder="1" applyAlignment="1">
      <alignment horizontal="center" vertical="center" wrapText="1"/>
    </xf>
    <xf numFmtId="165" fontId="16" fillId="0" borderId="16" xfId="1" applyNumberFormat="1" applyFont="1" applyFill="1" applyBorder="1" applyAlignment="1">
      <alignment horizontal="left" vertical="center"/>
    </xf>
    <xf numFmtId="165" fontId="23" fillId="0" borderId="16" xfId="1" applyNumberFormat="1" applyFont="1" applyFill="1" applyBorder="1" applyAlignment="1">
      <alignment horizontal="left" vertical="center"/>
    </xf>
    <xf numFmtId="9" fontId="23" fillId="0" borderId="16" xfId="2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 wrapText="1"/>
    </xf>
    <xf numFmtId="165" fontId="23" fillId="0" borderId="0" xfId="0" applyNumberFormat="1" applyFont="1"/>
    <xf numFmtId="0" fontId="23" fillId="0" borderId="0" xfId="0" applyFont="1"/>
    <xf numFmtId="9" fontId="23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 vertical="center" wrapText="1"/>
    </xf>
    <xf numFmtId="165" fontId="23" fillId="0" borderId="2" xfId="1" applyNumberFormat="1" applyFont="1" applyBorder="1" applyAlignment="1">
      <alignment horizontal="left" vertical="center"/>
    </xf>
    <xf numFmtId="165" fontId="23" fillId="0" borderId="2" xfId="1" applyNumberFormat="1" applyFont="1" applyBorder="1" applyAlignment="1">
      <alignment horizontal="center" vertical="center" wrapText="1"/>
    </xf>
    <xf numFmtId="165" fontId="23" fillId="6" borderId="2" xfId="1" applyNumberFormat="1" applyFont="1" applyFill="1" applyBorder="1" applyAlignment="1">
      <alignment horizontal="center" vertical="center" wrapText="1"/>
    </xf>
    <xf numFmtId="164" fontId="23" fillId="0" borderId="2" xfId="2" applyNumberFormat="1" applyFont="1" applyBorder="1" applyAlignment="1">
      <alignment horizontal="center" vertical="center" wrapText="1"/>
    </xf>
    <xf numFmtId="3" fontId="23" fillId="0" borderId="2" xfId="0" applyNumberFormat="1" applyFont="1" applyBorder="1" applyAlignment="1">
      <alignment horizontal="right" vertical="center" wrapText="1"/>
    </xf>
    <xf numFmtId="0" fontId="23" fillId="0" borderId="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center" vertical="center"/>
    </xf>
    <xf numFmtId="165" fontId="23" fillId="0" borderId="16" xfId="1" applyNumberFormat="1" applyFont="1" applyBorder="1" applyAlignment="1">
      <alignment horizontal="center" vertical="center" wrapText="1"/>
    </xf>
    <xf numFmtId="165" fontId="23" fillId="0" borderId="16" xfId="1" applyNumberFormat="1" applyFont="1" applyBorder="1" applyAlignment="1">
      <alignment horizontal="left" vertical="center"/>
    </xf>
    <xf numFmtId="9" fontId="23" fillId="0" borderId="16" xfId="2" applyFont="1" applyBorder="1" applyAlignment="1">
      <alignment horizontal="center" vertical="center" wrapText="1"/>
    </xf>
    <xf numFmtId="9" fontId="23" fillId="0" borderId="16" xfId="2" applyFont="1" applyBorder="1" applyAlignment="1">
      <alignment horizontal="center"/>
    </xf>
    <xf numFmtId="0" fontId="16" fillId="0" borderId="16" xfId="0" applyFont="1" applyBorder="1"/>
    <xf numFmtId="165" fontId="16" fillId="0" borderId="16" xfId="0" applyNumberFormat="1" applyFont="1" applyBorder="1"/>
    <xf numFmtId="164" fontId="16" fillId="0" borderId="16" xfId="2" applyNumberFormat="1" applyFont="1" applyBorder="1" applyAlignment="1">
      <alignment horizontal="center" vertical="center" wrapText="1"/>
    </xf>
    <xf numFmtId="165" fontId="16" fillId="6" borderId="16" xfId="1" applyNumberFormat="1" applyFont="1" applyFill="1" applyBorder="1" applyAlignment="1">
      <alignment horizontal="center" vertical="center" wrapText="1"/>
    </xf>
    <xf numFmtId="165" fontId="16" fillId="0" borderId="16" xfId="1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vertical="center" wrapText="1"/>
    </xf>
    <xf numFmtId="0" fontId="23" fillId="0" borderId="17" xfId="0" applyFont="1" applyBorder="1" applyAlignment="1">
      <alignment vertical="center" wrapText="1"/>
    </xf>
    <xf numFmtId="3" fontId="16" fillId="0" borderId="17" xfId="0" applyNumberFormat="1" applyFont="1" applyBorder="1" applyAlignment="1">
      <alignment horizontal="right" vertical="center" wrapText="1"/>
    </xf>
    <xf numFmtId="3" fontId="23" fillId="0" borderId="17" xfId="0" applyNumberFormat="1" applyFont="1" applyBorder="1" applyAlignment="1">
      <alignment horizontal="right" vertical="center" wrapText="1"/>
    </xf>
    <xf numFmtId="164" fontId="23" fillId="0" borderId="17" xfId="2" applyNumberFormat="1" applyFont="1" applyBorder="1" applyAlignment="1">
      <alignment horizontal="center" vertical="center" wrapText="1"/>
    </xf>
    <xf numFmtId="165" fontId="16" fillId="0" borderId="17" xfId="1" applyNumberFormat="1" applyFont="1" applyFill="1" applyBorder="1" applyAlignment="1">
      <alignment horizontal="center" vertical="center" wrapText="1"/>
    </xf>
    <xf numFmtId="165" fontId="23" fillId="0" borderId="17" xfId="1" applyNumberFormat="1" applyFont="1" applyFill="1" applyBorder="1" applyAlignment="1">
      <alignment horizontal="center" vertical="center" wrapText="1"/>
    </xf>
    <xf numFmtId="165" fontId="23" fillId="0" borderId="17" xfId="1" applyNumberFormat="1" applyFont="1" applyFill="1" applyBorder="1" applyAlignment="1">
      <alignment horizontal="left" vertical="center"/>
    </xf>
    <xf numFmtId="9" fontId="23" fillId="0" borderId="17" xfId="2" applyFont="1" applyBorder="1" applyAlignment="1">
      <alignment horizontal="center" vertical="center"/>
    </xf>
    <xf numFmtId="9" fontId="16" fillId="0" borderId="17" xfId="2" applyFont="1" applyBorder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20" fillId="10" borderId="16" xfId="0" applyFont="1" applyFill="1" applyBorder="1" applyAlignment="1">
      <alignment horizontal="center" vertical="center"/>
    </xf>
    <xf numFmtId="0" fontId="20" fillId="10" borderId="16" xfId="0" applyFont="1" applyFill="1" applyBorder="1" applyAlignment="1">
      <alignment vertical="center" wrapText="1"/>
    </xf>
    <xf numFmtId="0" fontId="20" fillId="10" borderId="16" xfId="0" applyFont="1" applyFill="1" applyBorder="1" applyAlignment="1">
      <alignment horizontal="center" vertical="center" wrapText="1"/>
    </xf>
    <xf numFmtId="165" fontId="20" fillId="0" borderId="16" xfId="1" applyNumberFormat="1" applyFont="1" applyBorder="1" applyAlignment="1">
      <alignment vertical="center"/>
    </xf>
    <xf numFmtId="9" fontId="20" fillId="0" borderId="16" xfId="0" applyNumberFormat="1" applyFont="1" applyBorder="1" applyAlignment="1">
      <alignment horizontal="right" vertical="center"/>
    </xf>
    <xf numFmtId="0" fontId="18" fillId="0" borderId="16" xfId="0" applyFont="1" applyBorder="1"/>
    <xf numFmtId="0" fontId="10" fillId="0" borderId="16" xfId="0" applyFont="1" applyBorder="1"/>
    <xf numFmtId="0" fontId="20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vertical="center" wrapText="1"/>
    </xf>
    <xf numFmtId="0" fontId="20" fillId="10" borderId="1" xfId="0" applyFont="1" applyFill="1" applyBorder="1" applyAlignment="1">
      <alignment horizontal="center" vertical="center" wrapText="1"/>
    </xf>
    <xf numFmtId="165" fontId="20" fillId="0" borderId="1" xfId="1" applyNumberFormat="1" applyFont="1" applyBorder="1" applyAlignment="1">
      <alignment vertical="center"/>
    </xf>
    <xf numFmtId="9" fontId="20" fillId="0" borderId="1" xfId="0" applyNumberFormat="1" applyFont="1" applyBorder="1" applyAlignment="1">
      <alignment horizontal="right" vertical="center"/>
    </xf>
    <xf numFmtId="0" fontId="18" fillId="0" borderId="1" xfId="0" applyFont="1" applyBorder="1"/>
    <xf numFmtId="0" fontId="20" fillId="0" borderId="16" xfId="0" applyFont="1" applyBorder="1" applyAlignment="1">
      <alignment horizontal="center" vertical="center" wrapText="1"/>
    </xf>
    <xf numFmtId="165" fontId="16" fillId="6" borderId="17" xfId="1" applyNumberFormat="1" applyFont="1" applyFill="1" applyBorder="1" applyAlignment="1">
      <alignment horizontal="center" vertical="center" wrapText="1"/>
    </xf>
    <xf numFmtId="165" fontId="16" fillId="0" borderId="17" xfId="1" applyNumberFormat="1" applyFont="1" applyBorder="1" applyAlignment="1">
      <alignment horizontal="center" vertical="center" wrapText="1"/>
    </xf>
    <xf numFmtId="0" fontId="16" fillId="0" borderId="17" xfId="0" applyFont="1" applyBorder="1"/>
    <xf numFmtId="165" fontId="16" fillId="0" borderId="17" xfId="0" applyNumberFormat="1" applyFont="1" applyBorder="1"/>
    <xf numFmtId="3" fontId="16" fillId="0" borderId="23" xfId="0" applyNumberFormat="1" applyFont="1" applyBorder="1" applyAlignment="1">
      <alignment horizontal="right" vertical="center" wrapText="1"/>
    </xf>
    <xf numFmtId="165" fontId="16" fillId="0" borderId="20" xfId="1" applyNumberFormat="1" applyFont="1" applyBorder="1" applyAlignment="1">
      <alignment horizontal="left" vertical="center"/>
    </xf>
    <xf numFmtId="165" fontId="23" fillId="0" borderId="17" xfId="1" applyNumberFormat="1" applyFont="1" applyBorder="1" applyAlignment="1">
      <alignment horizontal="center" vertical="center" wrapText="1"/>
    </xf>
    <xf numFmtId="3" fontId="16" fillId="0" borderId="19" xfId="0" applyNumberFormat="1" applyFont="1" applyBorder="1" applyAlignment="1">
      <alignment horizontal="right" vertical="center" wrapText="1"/>
    </xf>
    <xf numFmtId="165" fontId="16" fillId="3" borderId="2" xfId="1" applyNumberFormat="1" applyFont="1" applyFill="1" applyBorder="1" applyAlignment="1">
      <alignment horizontal="center" vertical="center" wrapText="1"/>
    </xf>
    <xf numFmtId="9" fontId="16" fillId="0" borderId="2" xfId="2" applyFont="1" applyBorder="1" applyAlignment="1">
      <alignment horizontal="center" vertical="center"/>
    </xf>
    <xf numFmtId="165" fontId="16" fillId="3" borderId="2" xfId="1" applyNumberFormat="1" applyFont="1" applyFill="1" applyBorder="1" applyAlignment="1">
      <alignment horizontal="left" vertical="center" wrapText="1"/>
    </xf>
    <xf numFmtId="3" fontId="23" fillId="3" borderId="16" xfId="0" applyNumberFormat="1" applyFont="1" applyFill="1" applyBorder="1" applyAlignment="1">
      <alignment horizontal="right" vertical="center" wrapText="1"/>
    </xf>
    <xf numFmtId="0" fontId="24" fillId="0" borderId="13" xfId="0" applyFont="1" applyBorder="1" applyAlignment="1">
      <alignment wrapText="1"/>
    </xf>
    <xf numFmtId="3" fontId="24" fillId="0" borderId="13" xfId="0" applyNumberFormat="1" applyFont="1" applyBorder="1" applyAlignment="1">
      <alignment wrapText="1"/>
    </xf>
    <xf numFmtId="10" fontId="24" fillId="0" borderId="13" xfId="0" applyNumberFormat="1" applyFont="1" applyBorder="1" applyAlignment="1">
      <alignment wrapText="1"/>
    </xf>
    <xf numFmtId="0" fontId="24" fillId="0" borderId="10" xfId="0" applyFont="1" applyBorder="1" applyAlignment="1">
      <alignment wrapText="1"/>
    </xf>
    <xf numFmtId="3" fontId="24" fillId="0" borderId="10" xfId="0" applyNumberFormat="1" applyFont="1" applyBorder="1" applyAlignment="1">
      <alignment wrapText="1"/>
    </xf>
    <xf numFmtId="10" fontId="24" fillId="0" borderId="10" xfId="0" applyNumberFormat="1" applyFont="1" applyBorder="1" applyAlignment="1">
      <alignment wrapText="1"/>
    </xf>
    <xf numFmtId="3" fontId="24" fillId="11" borderId="10" xfId="0" applyNumberFormat="1" applyFont="1" applyFill="1" applyBorder="1" applyAlignment="1">
      <alignment wrapText="1"/>
    </xf>
    <xf numFmtId="0" fontId="25" fillId="0" borderId="12" xfId="0" applyFont="1" applyBorder="1" applyAlignment="1">
      <alignment wrapText="1"/>
    </xf>
    <xf numFmtId="0" fontId="25" fillId="0" borderId="5" xfId="0" applyFont="1" applyBorder="1" applyAlignment="1">
      <alignment wrapText="1"/>
    </xf>
    <xf numFmtId="9" fontId="23" fillId="0" borderId="23" xfId="2" applyFont="1" applyBorder="1" applyAlignment="1">
      <alignment horizontal="center" vertical="center" wrapText="1"/>
    </xf>
    <xf numFmtId="3" fontId="26" fillId="0" borderId="0" xfId="0" applyNumberFormat="1" applyFont="1"/>
    <xf numFmtId="165" fontId="10" fillId="0" borderId="16" xfId="1" applyNumberFormat="1" applyFont="1" applyBorder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10" fontId="24" fillId="0" borderId="0" xfId="0" applyNumberFormat="1" applyFont="1" applyAlignment="1">
      <alignment wrapText="1"/>
    </xf>
    <xf numFmtId="0" fontId="25" fillId="0" borderId="0" xfId="0" applyFont="1" applyAlignment="1">
      <alignment wrapText="1"/>
    </xf>
    <xf numFmtId="3" fontId="16" fillId="0" borderId="0" xfId="0" applyNumberFormat="1" applyFont="1" applyAlignment="1">
      <alignment horizontal="right" vertical="center" wrapText="1"/>
    </xf>
    <xf numFmtId="9" fontId="23" fillId="0" borderId="0" xfId="2" applyFont="1" applyBorder="1" applyAlignment="1">
      <alignment horizontal="center" vertical="center" wrapText="1"/>
    </xf>
    <xf numFmtId="9" fontId="23" fillId="0" borderId="0" xfId="2" applyFont="1" applyBorder="1" applyAlignment="1">
      <alignment horizontal="center"/>
    </xf>
    <xf numFmtId="0" fontId="23" fillId="0" borderId="16" xfId="0" applyFont="1" applyBorder="1"/>
    <xf numFmtId="165" fontId="23" fillId="0" borderId="16" xfId="0" applyNumberFormat="1" applyFont="1" applyBorder="1"/>
    <xf numFmtId="165" fontId="16" fillId="4" borderId="0" xfId="1" applyNumberFormat="1" applyFont="1" applyFill="1" applyBorder="1" applyAlignment="1">
      <alignment horizontal="center" vertical="center" wrapText="1"/>
    </xf>
    <xf numFmtId="3" fontId="24" fillId="4" borderId="16" xfId="0" applyNumberFormat="1" applyFont="1" applyFill="1" applyBorder="1" applyAlignment="1">
      <alignment wrapText="1"/>
    </xf>
    <xf numFmtId="3" fontId="24" fillId="0" borderId="15" xfId="0" applyNumberFormat="1" applyFont="1" applyBorder="1" applyAlignment="1">
      <alignment wrapText="1"/>
    </xf>
    <xf numFmtId="0" fontId="24" fillId="0" borderId="15" xfId="0" applyFont="1" applyBorder="1" applyAlignment="1">
      <alignment wrapText="1"/>
    </xf>
    <xf numFmtId="10" fontId="24" fillId="0" borderId="15" xfId="0" applyNumberFormat="1" applyFont="1" applyBorder="1" applyAlignment="1">
      <alignment wrapText="1"/>
    </xf>
    <xf numFmtId="3" fontId="24" fillId="11" borderId="15" xfId="0" applyNumberFormat="1" applyFont="1" applyFill="1" applyBorder="1" applyAlignment="1">
      <alignment wrapText="1"/>
    </xf>
    <xf numFmtId="9" fontId="23" fillId="0" borderId="24" xfId="2" applyFont="1" applyBorder="1" applyAlignment="1">
      <alignment horizontal="center" vertical="center" wrapText="1"/>
    </xf>
    <xf numFmtId="9" fontId="23" fillId="0" borderId="17" xfId="2" applyFont="1" applyBorder="1" applyAlignment="1">
      <alignment horizontal="center"/>
    </xf>
    <xf numFmtId="0" fontId="27" fillId="0" borderId="2" xfId="0" applyFont="1" applyBorder="1" applyAlignment="1">
      <alignment wrapText="1"/>
    </xf>
    <xf numFmtId="0" fontId="28" fillId="0" borderId="4" xfId="0" applyFont="1" applyBorder="1" applyAlignment="1">
      <alignment wrapText="1"/>
    </xf>
    <xf numFmtId="0" fontId="28" fillId="0" borderId="2" xfId="0" applyFont="1" applyBorder="1" applyAlignment="1">
      <alignment wrapText="1"/>
    </xf>
    <xf numFmtId="3" fontId="28" fillId="0" borderId="2" xfId="0" applyNumberFormat="1" applyFont="1" applyBorder="1" applyAlignment="1">
      <alignment wrapText="1"/>
    </xf>
    <xf numFmtId="0" fontId="28" fillId="0" borderId="13" xfId="0" applyFont="1" applyBorder="1" applyAlignment="1">
      <alignment wrapText="1"/>
    </xf>
    <xf numFmtId="3" fontId="28" fillId="0" borderId="13" xfId="0" applyNumberFormat="1" applyFont="1" applyBorder="1" applyAlignment="1">
      <alignment wrapText="1"/>
    </xf>
    <xf numFmtId="3" fontId="28" fillId="0" borderId="4" xfId="0" applyNumberFormat="1" applyFont="1" applyBorder="1" applyAlignment="1">
      <alignment wrapText="1"/>
    </xf>
    <xf numFmtId="0" fontId="28" fillId="0" borderId="10" xfId="0" applyFont="1" applyBorder="1" applyAlignment="1">
      <alignment wrapText="1"/>
    </xf>
    <xf numFmtId="3" fontId="28" fillId="0" borderId="10" xfId="0" applyNumberFormat="1" applyFont="1" applyBorder="1" applyAlignment="1">
      <alignment wrapText="1"/>
    </xf>
    <xf numFmtId="10" fontId="28" fillId="0" borderId="2" xfId="0" applyNumberFormat="1" applyFont="1" applyBorder="1" applyAlignment="1">
      <alignment wrapText="1"/>
    </xf>
    <xf numFmtId="10" fontId="28" fillId="0" borderId="4" xfId="0" applyNumberFormat="1" applyFont="1" applyBorder="1" applyAlignment="1">
      <alignment wrapText="1"/>
    </xf>
    <xf numFmtId="0" fontId="29" fillId="0" borderId="2" xfId="0" applyFont="1" applyBorder="1" applyAlignment="1">
      <alignment wrapText="1"/>
    </xf>
    <xf numFmtId="0" fontId="29" fillId="0" borderId="4" xfId="0" applyFont="1" applyBorder="1" applyAlignment="1">
      <alignment wrapText="1"/>
    </xf>
    <xf numFmtId="165" fontId="16" fillId="4" borderId="16" xfId="1" applyNumberFormat="1" applyFont="1" applyFill="1" applyBorder="1" applyAlignment="1">
      <alignment horizontal="center" vertical="center" wrapText="1"/>
    </xf>
    <xf numFmtId="0" fontId="29" fillId="0" borderId="9" xfId="0" applyFont="1" applyBorder="1" applyAlignment="1">
      <alignment wrapText="1"/>
    </xf>
    <xf numFmtId="0" fontId="28" fillId="0" borderId="10" xfId="0" applyFont="1" applyBorder="1" applyAlignment="1">
      <alignment vertical="center" wrapText="1"/>
    </xf>
    <xf numFmtId="0" fontId="28" fillId="0" borderId="8" xfId="0" applyFont="1" applyBorder="1" applyAlignment="1">
      <alignment vertical="center" wrapText="1"/>
    </xf>
    <xf numFmtId="0" fontId="28" fillId="0" borderId="15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3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2" fillId="5" borderId="2" xfId="1" applyNumberFormat="1" applyFont="1" applyFill="1" applyBorder="1" applyAlignment="1">
      <alignment horizontal="center" vertical="center" wrapText="1"/>
    </xf>
    <xf numFmtId="165" fontId="3" fillId="5" borderId="2" xfId="1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 indent="2"/>
    </xf>
    <xf numFmtId="0" fontId="16" fillId="0" borderId="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165" fontId="13" fillId="5" borderId="2" xfId="1" applyNumberFormat="1" applyFont="1" applyFill="1" applyBorder="1" applyAlignment="1">
      <alignment horizontal="center" vertical="center" wrapText="1"/>
    </xf>
    <xf numFmtId="165" fontId="14" fillId="5" borderId="2" xfId="1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4" fillId="0" borderId="3" xfId="0" applyFont="1" applyBorder="1" applyAlignment="1">
      <alignment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4" fillId="0" borderId="15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5" fontId="10" fillId="0" borderId="16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7" fillId="7" borderId="2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2" fillId="3" borderId="2" xfId="0" applyFont="1" applyFill="1" applyBorder="1" applyAlignment="1"/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m Nguyen Huu (TNPM-QLCC GMC KhuC KST)" id="{46D85920-0555-4A62-BEAB-903CD5D842A3}" userId="S::tamnh4@tnpm.com.vn::546af22d-76e9-4841-9a62-94e2c201f0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4" dT="2026-04-22T08:27:22.42" personId="{46D85920-0555-4A62-BEAB-903CD5D842A3}" id="{DBB74648-4060-4A8B-96FD-22F290028298}">
    <text>Dự án chưa vận hành</text>
  </threadedComment>
  <threadedComment ref="G34" dT="2026-04-22T08:27:22.42" personId="{46D85920-0555-4A62-BEAB-903CD5D842A3}" id="{AD9729A9-B1B3-4447-A860-57820B2F3E00}">
    <text>Dự án chưa vận hành</text>
  </threadedComment>
  <threadedComment ref="H34" dT="2026-04-22T08:27:22.42" personId="{46D85920-0555-4A62-BEAB-903CD5D842A3}" id="{DCAA48F8-BCA1-48A4-9A3C-1E08350C30FF}">
    <text>Dự án chưa vận hành</text>
  </threadedComment>
  <threadedComment ref="F35" dT="2026-04-22T08:27:22.42" personId="{46D85920-0555-4A62-BEAB-903CD5D842A3}" id="{3E851FB3-23DB-48F0-BBD0-572C6056ABE7}">
    <text>Dự án chưa vận hành</text>
  </threadedComment>
  <threadedComment ref="G35" dT="2026-04-22T08:27:22.42" personId="{46D85920-0555-4A62-BEAB-903CD5D842A3}" id="{5188991B-7361-4090-B9A0-05CA752FBD42}">
    <text>Dự án chưa vận hành</text>
  </threadedComment>
  <threadedComment ref="H35" dT="2026-04-22T08:27:22.42" personId="{46D85920-0555-4A62-BEAB-903CD5D842A3}" id="{8E592D66-0913-40F0-A699-368AB74F28C7}">
    <text>Dự án chưa vận hành</text>
  </threadedComment>
  <threadedComment ref="F36" dT="2026-04-22T08:27:22.42" personId="{46D85920-0555-4A62-BEAB-903CD5D842A3}" id="{A90D6DEE-68BD-4582-B6F3-0CF5977F8CEE}">
    <text>Dự án chưa vận hành</text>
  </threadedComment>
  <threadedComment ref="G36" dT="2026-04-22T08:27:22.42" personId="{46D85920-0555-4A62-BEAB-903CD5D842A3}" id="{4CED6ED6-0896-4725-BD04-710AFF7290F7}">
    <text>Dự án chưa vận hành</text>
  </threadedComment>
  <threadedComment ref="H36" dT="2026-04-22T08:27:22.42" personId="{46D85920-0555-4A62-BEAB-903CD5D842A3}" id="{5DAFAD26-2628-429F-814A-E8C84AFBCB70}">
    <text>Dự án chưa vận hành</text>
  </threadedComment>
  <threadedComment ref="F37" dT="2026-04-22T08:27:22.42" personId="{46D85920-0555-4A62-BEAB-903CD5D842A3}" id="{250AF598-B92A-4E41-8F5B-F728BB3E5F3C}">
    <text>Dự án chưa vận hành</text>
  </threadedComment>
  <threadedComment ref="G37" dT="2026-04-22T08:27:22.42" personId="{46D85920-0555-4A62-BEAB-903CD5D842A3}" id="{935355F5-7B83-4A15-A43F-FE6976B336B1}">
    <text>Dự án chưa vận hành</text>
  </threadedComment>
  <threadedComment ref="H37" dT="2026-04-22T08:27:22.42" personId="{46D85920-0555-4A62-BEAB-903CD5D842A3}" id="{42AA8A91-0C98-40EE-A174-0F60C730D35B}">
    <text>Dự án chưa vận hành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DBFE-3B4C-4DB3-B120-7B496220D45B}">
  <sheetPr>
    <tabColor rgb="FFFFFF00"/>
    <pageSetUpPr fitToPage="1"/>
  </sheetPr>
  <dimension ref="A1:T158"/>
  <sheetViews>
    <sheetView tabSelected="1" topLeftCell="A135" zoomScale="85" zoomScaleNormal="85" workbookViewId="0">
      <selection activeCell="D167" sqref="D167"/>
    </sheetView>
  </sheetViews>
  <sheetFormatPr defaultColWidth="8.85546875" defaultRowHeight="13.9" outlineLevelCol="1"/>
  <cols>
    <col min="1" max="1" width="9.5703125" style="46" customWidth="1"/>
    <col min="2" max="2" width="20" style="46" customWidth="1"/>
    <col min="3" max="3" width="8.85546875" style="46"/>
    <col min="4" max="4" width="34.42578125" style="46" customWidth="1"/>
    <col min="5" max="5" width="16.140625" style="46" customWidth="1"/>
    <col min="6" max="8" width="15.7109375" style="46" customWidth="1" outlineLevel="1"/>
    <col min="9" max="9" width="15.7109375" style="57" customWidth="1"/>
    <col min="10" max="10" width="15.7109375" style="46" customWidth="1"/>
    <col min="11" max="11" width="13.85546875" style="46" customWidth="1"/>
    <col min="12" max="12" width="11.42578125" style="46" customWidth="1"/>
    <col min="13" max="13" width="25.7109375" style="46" customWidth="1"/>
    <col min="14" max="16" width="13.140625" style="46" customWidth="1"/>
    <col min="17" max="17" width="11.5703125" style="46" customWidth="1"/>
    <col min="18" max="18" width="11.28515625" style="46" customWidth="1"/>
    <col min="19" max="19" width="9.5703125" style="46" bestFit="1" customWidth="1"/>
    <col min="20" max="16384" width="8.85546875" style="46"/>
  </cols>
  <sheetData>
    <row r="1" spans="1:20" ht="17.45">
      <c r="A1" s="255" t="s">
        <v>0</v>
      </c>
      <c r="B1" s="255"/>
    </row>
    <row r="4" spans="1:20">
      <c r="A4" s="289" t="s">
        <v>1</v>
      </c>
      <c r="B4" s="289" t="s">
        <v>2</v>
      </c>
      <c r="C4" s="291" t="s">
        <v>3</v>
      </c>
      <c r="D4" s="289" t="s">
        <v>4</v>
      </c>
      <c r="E4" s="289" t="s">
        <v>5</v>
      </c>
      <c r="F4" s="292" t="s">
        <v>6</v>
      </c>
      <c r="G4" s="292"/>
      <c r="H4" s="292"/>
      <c r="I4" s="291" t="s">
        <v>7</v>
      </c>
      <c r="J4" s="291"/>
      <c r="K4" s="291"/>
      <c r="L4" s="291"/>
      <c r="M4" s="88"/>
      <c r="N4" s="309" t="s">
        <v>8</v>
      </c>
      <c r="O4" s="310"/>
      <c r="P4" s="310"/>
      <c r="Q4" s="310"/>
      <c r="R4" s="311"/>
      <c r="S4" s="89"/>
      <c r="T4" s="89"/>
    </row>
    <row r="5" spans="1:20">
      <c r="A5" s="290"/>
      <c r="B5" s="290"/>
      <c r="C5" s="291"/>
      <c r="D5" s="290"/>
      <c r="E5" s="290"/>
      <c r="F5" s="292"/>
      <c r="G5" s="292"/>
      <c r="H5" s="292"/>
      <c r="I5" s="291"/>
      <c r="J5" s="291"/>
      <c r="K5" s="291"/>
      <c r="L5" s="291"/>
      <c r="M5" s="88" t="s">
        <v>9</v>
      </c>
      <c r="N5" s="312"/>
      <c r="O5" s="313"/>
      <c r="P5" s="313"/>
      <c r="Q5" s="314"/>
      <c r="R5" s="315"/>
      <c r="S5" s="89"/>
      <c r="T5" s="89"/>
    </row>
    <row r="6" spans="1:20" ht="60">
      <c r="A6" s="290"/>
      <c r="B6" s="290"/>
      <c r="C6" s="291"/>
      <c r="D6" s="290"/>
      <c r="E6" s="290"/>
      <c r="F6" s="90" t="s">
        <v>10</v>
      </c>
      <c r="G6" s="91" t="s">
        <v>11</v>
      </c>
      <c r="H6" s="91" t="s">
        <v>12</v>
      </c>
      <c r="I6" s="92" t="s">
        <v>13</v>
      </c>
      <c r="J6" s="90" t="s">
        <v>10</v>
      </c>
      <c r="K6" s="90" t="s">
        <v>14</v>
      </c>
      <c r="L6" s="90" t="s">
        <v>12</v>
      </c>
      <c r="M6" s="88"/>
      <c r="N6" s="90" t="s">
        <v>10</v>
      </c>
      <c r="O6" s="90" t="s">
        <v>14</v>
      </c>
      <c r="P6" s="90" t="s">
        <v>12</v>
      </c>
      <c r="Q6" s="90" t="s">
        <v>15</v>
      </c>
      <c r="R6" s="90" t="s">
        <v>16</v>
      </c>
      <c r="S6" s="89"/>
      <c r="T6" s="89"/>
    </row>
    <row r="7" spans="1:20">
      <c r="A7" s="256">
        <v>1</v>
      </c>
      <c r="B7" s="256" t="s">
        <v>17</v>
      </c>
      <c r="C7" s="256" t="s">
        <v>18</v>
      </c>
      <c r="D7" s="93" t="s">
        <v>19</v>
      </c>
      <c r="E7" s="93" t="s">
        <v>20</v>
      </c>
      <c r="F7" s="94">
        <v>3873</v>
      </c>
      <c r="G7" s="93">
        <v>0</v>
      </c>
      <c r="H7" s="94">
        <f t="shared" ref="H7" si="0">+F7+G7</f>
        <v>3873</v>
      </c>
      <c r="I7" s="95">
        <v>4.8000000000000001E-2</v>
      </c>
      <c r="J7" s="96">
        <f>+ROUND(F7*I7,0)+F7</f>
        <v>4059</v>
      </c>
      <c r="K7" s="97">
        <f t="shared" ref="K7:K30" si="1">+ROUND(G7*I7,0)+G7</f>
        <v>0</v>
      </c>
      <c r="L7" s="98">
        <f t="shared" ref="L7:L30" si="2">+J7+K7</f>
        <v>4059</v>
      </c>
      <c r="M7" s="99" t="s">
        <v>21</v>
      </c>
      <c r="N7" s="97">
        <v>3690</v>
      </c>
      <c r="O7" s="97">
        <f>+ROUND(N7*0.1,0)</f>
        <v>369</v>
      </c>
      <c r="P7" s="97">
        <f>+O7+N7</f>
        <v>4059</v>
      </c>
      <c r="Q7" s="100">
        <v>0.08</v>
      </c>
      <c r="R7" s="101">
        <v>0.1</v>
      </c>
      <c r="S7" s="89">
        <f>ROUND(N7*0.1,0)</f>
        <v>369</v>
      </c>
      <c r="T7" s="102">
        <f>+S7-O7</f>
        <v>0</v>
      </c>
    </row>
    <row r="8" spans="1:20">
      <c r="A8" s="257"/>
      <c r="B8" s="257"/>
      <c r="C8" s="257"/>
      <c r="D8" s="103" t="s">
        <v>22</v>
      </c>
      <c r="E8" s="93" t="s">
        <v>20</v>
      </c>
      <c r="F8" s="94"/>
      <c r="G8" s="93"/>
      <c r="H8" s="94"/>
      <c r="I8" s="95"/>
      <c r="J8" s="96">
        <v>101508</v>
      </c>
      <c r="K8" s="97"/>
      <c r="L8" s="98">
        <f t="shared" si="2"/>
        <v>101508</v>
      </c>
      <c r="M8" s="99"/>
      <c r="N8" s="97">
        <f>101508/(1.1)</f>
        <v>92279.999999999985</v>
      </c>
      <c r="O8" s="97">
        <f>+ROUND(N8*0.1,0)</f>
        <v>9228</v>
      </c>
      <c r="P8" s="97">
        <f>+O8+N8</f>
        <v>101507.99999999999</v>
      </c>
      <c r="Q8" s="100">
        <v>0.08</v>
      </c>
      <c r="R8" s="101">
        <v>0.1</v>
      </c>
      <c r="S8" s="89">
        <f t="shared" ref="S8:S30" si="3">ROUND(N8*0.1,0)</f>
        <v>9228</v>
      </c>
      <c r="T8" s="102">
        <f t="shared" ref="T8:T30" si="4">+S8-O8</f>
        <v>0</v>
      </c>
    </row>
    <row r="9" spans="1:20">
      <c r="A9" s="258"/>
      <c r="B9" s="258"/>
      <c r="C9" s="258"/>
      <c r="D9" s="103" t="s">
        <v>23</v>
      </c>
      <c r="E9" s="93" t="s">
        <v>20</v>
      </c>
      <c r="F9" s="94"/>
      <c r="G9" s="93"/>
      <c r="H9" s="94"/>
      <c r="I9" s="95"/>
      <c r="J9" s="96">
        <v>50000</v>
      </c>
      <c r="K9" s="96"/>
      <c r="L9" s="96">
        <v>50000</v>
      </c>
      <c r="M9" s="104"/>
      <c r="N9" s="96">
        <v>50000</v>
      </c>
      <c r="O9" s="96"/>
      <c r="P9" s="96">
        <f>+O9+N9</f>
        <v>50000</v>
      </c>
      <c r="Q9" s="105"/>
      <c r="R9" s="101">
        <v>0.1</v>
      </c>
      <c r="S9" s="89"/>
      <c r="T9" s="102">
        <f t="shared" si="4"/>
        <v>0</v>
      </c>
    </row>
    <row r="10" spans="1:20">
      <c r="A10" s="256">
        <v>2</v>
      </c>
      <c r="B10" s="256" t="s">
        <v>24</v>
      </c>
      <c r="C10" s="256" t="s">
        <v>18</v>
      </c>
      <c r="D10" s="293" t="s">
        <v>19</v>
      </c>
      <c r="E10" s="93" t="s">
        <v>25</v>
      </c>
      <c r="F10" s="94">
        <v>1830</v>
      </c>
      <c r="G10" s="106">
        <v>183</v>
      </c>
      <c r="H10" s="94">
        <f t="shared" ref="H10:H30" si="5">+F10+G10</f>
        <v>2013</v>
      </c>
      <c r="I10" s="95">
        <f>104.808743169399%-1</f>
        <v>4.8087431693989879E-2</v>
      </c>
      <c r="J10" s="96">
        <v>1918</v>
      </c>
      <c r="K10" s="98">
        <f>+ROUND(J10*0.1,0)</f>
        <v>192</v>
      </c>
      <c r="L10" s="98">
        <f t="shared" si="2"/>
        <v>2110</v>
      </c>
      <c r="M10" s="99" t="s">
        <v>26</v>
      </c>
      <c r="N10" s="96">
        <v>1918</v>
      </c>
      <c r="O10" s="96">
        <v>192</v>
      </c>
      <c r="P10" s="98">
        <v>2110</v>
      </c>
      <c r="Q10" s="100">
        <v>0.08</v>
      </c>
      <c r="R10" s="101">
        <v>0.1</v>
      </c>
      <c r="S10" s="89">
        <f t="shared" si="3"/>
        <v>192</v>
      </c>
      <c r="T10" s="102">
        <f t="shared" si="4"/>
        <v>0</v>
      </c>
    </row>
    <row r="11" spans="1:20">
      <c r="A11" s="257"/>
      <c r="B11" s="257"/>
      <c r="C11" s="257"/>
      <c r="D11" s="294"/>
      <c r="E11" s="93" t="s">
        <v>27</v>
      </c>
      <c r="F11" s="94">
        <v>3007</v>
      </c>
      <c r="G11" s="106">
        <v>301</v>
      </c>
      <c r="H11" s="94">
        <f t="shared" si="5"/>
        <v>3308</v>
      </c>
      <c r="I11" s="95">
        <f>104.822081809112%-1</f>
        <v>4.822081809112011E-2</v>
      </c>
      <c r="J11" s="96">
        <v>3152</v>
      </c>
      <c r="K11" s="96">
        <f>+ROUND(J11*0.1,0)+1</f>
        <v>316</v>
      </c>
      <c r="L11" s="98">
        <f t="shared" si="2"/>
        <v>3468</v>
      </c>
      <c r="M11" s="99" t="s">
        <v>26</v>
      </c>
      <c r="N11" s="96">
        <v>3152</v>
      </c>
      <c r="O11" s="96">
        <v>316</v>
      </c>
      <c r="P11" s="98">
        <v>3468</v>
      </c>
      <c r="Q11" s="100">
        <v>0.08</v>
      </c>
      <c r="R11" s="101">
        <v>0.1</v>
      </c>
      <c r="S11" s="89">
        <f>ROUND(N11*0.1,0)</f>
        <v>315</v>
      </c>
      <c r="T11" s="102">
        <f t="shared" si="4"/>
        <v>-1</v>
      </c>
    </row>
    <row r="12" spans="1:20">
      <c r="A12" s="257"/>
      <c r="B12" s="257"/>
      <c r="C12" s="257"/>
      <c r="D12" s="295"/>
      <c r="E12" s="93" t="s">
        <v>28</v>
      </c>
      <c r="F12" s="94">
        <v>5174</v>
      </c>
      <c r="G12" s="106">
        <v>517</v>
      </c>
      <c r="H12" s="94">
        <f t="shared" si="5"/>
        <v>5691</v>
      </c>
      <c r="I12" s="95">
        <f>104.793196752996%-1</f>
        <v>4.7931967529959874E-2</v>
      </c>
      <c r="J12" s="96">
        <v>5422</v>
      </c>
      <c r="K12" s="96">
        <f t="shared" ref="K12" si="6">+ROUND(J12*0.1,0)</f>
        <v>542</v>
      </c>
      <c r="L12" s="98">
        <f t="shared" si="2"/>
        <v>5964</v>
      </c>
      <c r="M12" s="99" t="s">
        <v>26</v>
      </c>
      <c r="N12" s="96">
        <v>5422</v>
      </c>
      <c r="O12" s="96">
        <v>542</v>
      </c>
      <c r="P12" s="98">
        <v>5964</v>
      </c>
      <c r="Q12" s="100">
        <v>0.08</v>
      </c>
      <c r="R12" s="101">
        <v>0.1</v>
      </c>
      <c r="S12" s="89">
        <f t="shared" si="3"/>
        <v>542</v>
      </c>
      <c r="T12" s="102">
        <f t="shared" si="4"/>
        <v>0</v>
      </c>
    </row>
    <row r="13" spans="1:20">
      <c r="A13" s="257"/>
      <c r="B13" s="257"/>
      <c r="C13" s="257"/>
      <c r="D13" s="93" t="s">
        <v>29</v>
      </c>
      <c r="E13" s="93" t="s">
        <v>20</v>
      </c>
      <c r="F13" s="94">
        <v>2197</v>
      </c>
      <c r="G13" s="93">
        <v>0</v>
      </c>
      <c r="H13" s="94">
        <f t="shared" si="5"/>
        <v>2197</v>
      </c>
      <c r="I13" s="95">
        <v>4.8000000000000001E-2</v>
      </c>
      <c r="J13" s="96">
        <f t="shared" ref="J13:J30" si="7">+ROUND(F13*I13,0)+F13</f>
        <v>2302</v>
      </c>
      <c r="K13" s="97">
        <f t="shared" si="1"/>
        <v>0</v>
      </c>
      <c r="L13" s="98">
        <f t="shared" si="2"/>
        <v>2302</v>
      </c>
      <c r="M13" s="99" t="s">
        <v>21</v>
      </c>
      <c r="N13" s="97">
        <v>2093</v>
      </c>
      <c r="O13" s="97">
        <f>+ROUND(N13*0.1,0)</f>
        <v>209</v>
      </c>
      <c r="P13" s="97">
        <f>+O13+N13</f>
        <v>2302</v>
      </c>
      <c r="Q13" s="100">
        <v>0.08</v>
      </c>
      <c r="R13" s="101">
        <v>0.1</v>
      </c>
      <c r="S13" s="89">
        <f t="shared" si="3"/>
        <v>209</v>
      </c>
      <c r="T13" s="102">
        <f t="shared" si="4"/>
        <v>0</v>
      </c>
    </row>
    <row r="14" spans="1:20" ht="22.5">
      <c r="A14" s="258"/>
      <c r="B14" s="258"/>
      <c r="C14" s="258"/>
      <c r="D14" s="152" t="s">
        <v>30</v>
      </c>
      <c r="E14" s="152" t="s">
        <v>20</v>
      </c>
      <c r="F14" s="151">
        <v>3873</v>
      </c>
      <c r="G14" s="152">
        <v>0</v>
      </c>
      <c r="H14" s="151">
        <f t="shared" si="5"/>
        <v>3873</v>
      </c>
      <c r="I14" s="150">
        <v>4.8000000000000001E-2</v>
      </c>
      <c r="J14" s="148">
        <f t="shared" si="7"/>
        <v>4059</v>
      </c>
      <c r="K14" s="149">
        <f t="shared" si="1"/>
        <v>0</v>
      </c>
      <c r="L14" s="148">
        <f t="shared" si="2"/>
        <v>4059</v>
      </c>
      <c r="M14" s="147" t="s">
        <v>21</v>
      </c>
      <c r="N14" s="149">
        <v>3690</v>
      </c>
      <c r="O14" s="149">
        <f>+ROUND(N14*0.1,0)</f>
        <v>369</v>
      </c>
      <c r="P14" s="149">
        <f>+O14+N14</f>
        <v>4059</v>
      </c>
      <c r="Q14" s="146">
        <v>0.08</v>
      </c>
      <c r="R14" s="145">
        <v>0.1</v>
      </c>
      <c r="S14" s="144">
        <f t="shared" si="3"/>
        <v>369</v>
      </c>
      <c r="T14" s="143">
        <f t="shared" si="4"/>
        <v>0</v>
      </c>
    </row>
    <row r="15" spans="1:20">
      <c r="A15" s="256">
        <v>3</v>
      </c>
      <c r="B15" s="256" t="s">
        <v>31</v>
      </c>
      <c r="C15" s="256" t="s">
        <v>18</v>
      </c>
      <c r="D15" s="293" t="s">
        <v>19</v>
      </c>
      <c r="E15" s="93" t="s">
        <v>25</v>
      </c>
      <c r="F15" s="94">
        <v>1830</v>
      </c>
      <c r="G15" s="106">
        <v>183</v>
      </c>
      <c r="H15" s="94">
        <f t="shared" si="5"/>
        <v>2013</v>
      </c>
      <c r="I15" s="95">
        <f>104.808743169399%-1</f>
        <v>4.8087431693989879E-2</v>
      </c>
      <c r="J15" s="96">
        <v>1918</v>
      </c>
      <c r="K15" s="96">
        <f>+ROUND(J15*0.1,0)</f>
        <v>192</v>
      </c>
      <c r="L15" s="96">
        <f t="shared" si="2"/>
        <v>2110</v>
      </c>
      <c r="M15" s="104" t="s">
        <v>26</v>
      </c>
      <c r="N15" s="96">
        <v>1918</v>
      </c>
      <c r="O15" s="96">
        <v>192</v>
      </c>
      <c r="P15" s="98">
        <v>2110</v>
      </c>
      <c r="Q15" s="100">
        <v>0.08</v>
      </c>
      <c r="R15" s="101">
        <v>0.1</v>
      </c>
      <c r="S15" s="89">
        <f t="shared" si="3"/>
        <v>192</v>
      </c>
      <c r="T15" s="102">
        <f t="shared" si="4"/>
        <v>0</v>
      </c>
    </row>
    <row r="16" spans="1:20">
      <c r="A16" s="257"/>
      <c r="B16" s="257"/>
      <c r="C16" s="257"/>
      <c r="D16" s="294"/>
      <c r="E16" s="93" t="s">
        <v>27</v>
      </c>
      <c r="F16" s="94">
        <v>3007</v>
      </c>
      <c r="G16" s="106">
        <v>301</v>
      </c>
      <c r="H16" s="94">
        <f t="shared" si="5"/>
        <v>3308</v>
      </c>
      <c r="I16" s="95">
        <f>104.822081809112%-1</f>
        <v>4.822081809112011E-2</v>
      </c>
      <c r="J16" s="96">
        <v>3152</v>
      </c>
      <c r="K16" s="96">
        <f>+ROUND(J16*0.1,0)+1</f>
        <v>316</v>
      </c>
      <c r="L16" s="96">
        <f t="shared" si="2"/>
        <v>3468</v>
      </c>
      <c r="M16" s="104" t="s">
        <v>26</v>
      </c>
      <c r="N16" s="96">
        <v>3152</v>
      </c>
      <c r="O16" s="96">
        <v>316</v>
      </c>
      <c r="P16" s="98">
        <v>3468</v>
      </c>
      <c r="Q16" s="100">
        <v>0.08</v>
      </c>
      <c r="R16" s="101">
        <v>0.1</v>
      </c>
      <c r="S16" s="89">
        <f t="shared" si="3"/>
        <v>315</v>
      </c>
      <c r="T16" s="102">
        <f t="shared" si="4"/>
        <v>-1</v>
      </c>
    </row>
    <row r="17" spans="1:20">
      <c r="A17" s="257"/>
      <c r="B17" s="257"/>
      <c r="C17" s="257"/>
      <c r="D17" s="295"/>
      <c r="E17" s="93" t="s">
        <v>28</v>
      </c>
      <c r="F17" s="94">
        <v>5174</v>
      </c>
      <c r="G17" s="106">
        <v>517</v>
      </c>
      <c r="H17" s="94">
        <f t="shared" si="5"/>
        <v>5691</v>
      </c>
      <c r="I17" s="95">
        <f>104.793196752996%-1</f>
        <v>4.7931967529959874E-2</v>
      </c>
      <c r="J17" s="96">
        <v>5422</v>
      </c>
      <c r="K17" s="96">
        <f t="shared" ref="K17" si="8">+ROUND(J17*0.1,0)</f>
        <v>542</v>
      </c>
      <c r="L17" s="96">
        <f t="shared" si="2"/>
        <v>5964</v>
      </c>
      <c r="M17" s="104" t="s">
        <v>26</v>
      </c>
      <c r="N17" s="96">
        <v>5422</v>
      </c>
      <c r="O17" s="96">
        <v>542</v>
      </c>
      <c r="P17" s="98">
        <v>5964</v>
      </c>
      <c r="Q17" s="100">
        <v>0.08</v>
      </c>
      <c r="R17" s="101">
        <v>0.1</v>
      </c>
      <c r="S17" s="89">
        <f t="shared" si="3"/>
        <v>542</v>
      </c>
      <c r="T17" s="102">
        <f t="shared" si="4"/>
        <v>0</v>
      </c>
    </row>
    <row r="18" spans="1:20" ht="13.9" customHeight="1">
      <c r="A18" s="257"/>
      <c r="B18" s="257"/>
      <c r="C18" s="257"/>
      <c r="D18" s="316" t="s">
        <v>29</v>
      </c>
      <c r="E18" s="316" t="s">
        <v>20</v>
      </c>
      <c r="F18" s="94">
        <v>2197</v>
      </c>
      <c r="G18" s="93">
        <v>0</v>
      </c>
      <c r="H18" s="94">
        <f t="shared" si="5"/>
        <v>2197</v>
      </c>
      <c r="I18" s="95">
        <v>4.8000000000000001E-2</v>
      </c>
      <c r="J18" s="96">
        <f t="shared" si="7"/>
        <v>2302</v>
      </c>
      <c r="K18" s="97">
        <f t="shared" si="1"/>
        <v>0</v>
      </c>
      <c r="L18" s="98">
        <f t="shared" si="2"/>
        <v>2302</v>
      </c>
      <c r="M18" s="99" t="s">
        <v>21</v>
      </c>
      <c r="N18" s="97">
        <v>2093</v>
      </c>
      <c r="O18" s="97">
        <f>+ROUND(N18*0.1,0)</f>
        <v>209</v>
      </c>
      <c r="P18" s="97">
        <f>+O18+N18</f>
        <v>2302</v>
      </c>
      <c r="Q18" s="100">
        <v>0.08</v>
      </c>
      <c r="R18" s="101">
        <v>0.1</v>
      </c>
      <c r="S18" s="89">
        <f t="shared" si="3"/>
        <v>209</v>
      </c>
      <c r="T18" s="102">
        <f t="shared" si="4"/>
        <v>0</v>
      </c>
    </row>
    <row r="19" spans="1:20" ht="33">
      <c r="A19" s="257"/>
      <c r="B19" s="257"/>
      <c r="C19" s="257"/>
      <c r="D19" s="317"/>
      <c r="E19" s="317"/>
      <c r="F19" s="94"/>
      <c r="G19" s="93"/>
      <c r="H19" s="94"/>
      <c r="I19" s="95"/>
      <c r="J19" s="96"/>
      <c r="K19" s="97"/>
      <c r="L19" s="98"/>
      <c r="M19" s="200" t="s">
        <v>32</v>
      </c>
      <c r="N19" s="198">
        <v>2226</v>
      </c>
      <c r="O19" s="198">
        <f>+ROUND(N19*0.1,0)</f>
        <v>223</v>
      </c>
      <c r="P19" s="198">
        <f>+O19+N19</f>
        <v>2449</v>
      </c>
      <c r="Q19" s="100">
        <v>0.08</v>
      </c>
      <c r="R19" s="199">
        <v>0.1</v>
      </c>
      <c r="S19" s="89"/>
      <c r="T19" s="102"/>
    </row>
    <row r="20" spans="1:20" ht="22.9">
      <c r="A20" s="258"/>
      <c r="B20" s="258"/>
      <c r="C20" s="258"/>
      <c r="D20" s="93" t="s">
        <v>33</v>
      </c>
      <c r="E20" s="93" t="s">
        <v>20</v>
      </c>
      <c r="F20" s="94">
        <v>3949</v>
      </c>
      <c r="G20" s="93">
        <v>0</v>
      </c>
      <c r="H20" s="94">
        <f t="shared" si="5"/>
        <v>3949</v>
      </c>
      <c r="I20" s="95">
        <v>4.8000000000000001E-2</v>
      </c>
      <c r="J20" s="96">
        <f t="shared" si="7"/>
        <v>4139</v>
      </c>
      <c r="K20" s="97">
        <f t="shared" si="1"/>
        <v>0</v>
      </c>
      <c r="L20" s="98">
        <f t="shared" si="2"/>
        <v>4139</v>
      </c>
      <c r="M20" s="99" t="s">
        <v>21</v>
      </c>
      <c r="N20" s="97">
        <v>3763</v>
      </c>
      <c r="O20" s="97">
        <f>+ROUND(N20*0.1,0)</f>
        <v>376</v>
      </c>
      <c r="P20" s="97">
        <f>+O20+N20</f>
        <v>4139</v>
      </c>
      <c r="Q20" s="100">
        <v>0.08</v>
      </c>
      <c r="R20" s="101">
        <v>0.1</v>
      </c>
      <c r="S20" s="89">
        <f t="shared" si="3"/>
        <v>376</v>
      </c>
      <c r="T20" s="102">
        <f t="shared" si="4"/>
        <v>0</v>
      </c>
    </row>
    <row r="21" spans="1:20" ht="15">
      <c r="A21" s="256">
        <v>4</v>
      </c>
      <c r="B21" s="256" t="s">
        <v>34</v>
      </c>
      <c r="C21" s="256" t="s">
        <v>18</v>
      </c>
      <c r="D21" s="259" t="s">
        <v>35</v>
      </c>
      <c r="E21" s="93" t="s">
        <v>25</v>
      </c>
      <c r="F21" s="94">
        <v>1830</v>
      </c>
      <c r="G21" s="106">
        <v>183</v>
      </c>
      <c r="H21" s="94">
        <f t="shared" si="5"/>
        <v>2013</v>
      </c>
      <c r="I21" s="95">
        <f>104.808743169399%-1</f>
        <v>4.8087431693989879E-2</v>
      </c>
      <c r="J21" s="96">
        <v>1918</v>
      </c>
      <c r="K21" s="96">
        <f>+ROUND(J21*0.1,0)</f>
        <v>192</v>
      </c>
      <c r="L21" s="96">
        <f t="shared" si="2"/>
        <v>2110</v>
      </c>
      <c r="M21" s="104" t="s">
        <v>26</v>
      </c>
      <c r="N21" s="96">
        <v>1918</v>
      </c>
      <c r="O21" s="96">
        <v>192</v>
      </c>
      <c r="P21" s="98">
        <v>2110</v>
      </c>
      <c r="Q21" s="100">
        <v>0.08</v>
      </c>
      <c r="R21" s="101">
        <v>0.1</v>
      </c>
      <c r="S21" s="89">
        <f t="shared" si="3"/>
        <v>192</v>
      </c>
      <c r="T21" s="102">
        <f t="shared" si="4"/>
        <v>0</v>
      </c>
    </row>
    <row r="22" spans="1:20">
      <c r="A22" s="257"/>
      <c r="B22" s="257"/>
      <c r="C22" s="257"/>
      <c r="D22" s="259"/>
      <c r="E22" s="93" t="s">
        <v>27</v>
      </c>
      <c r="F22" s="94">
        <v>3007</v>
      </c>
      <c r="G22" s="106">
        <v>301</v>
      </c>
      <c r="H22" s="94">
        <f t="shared" si="5"/>
        <v>3308</v>
      </c>
      <c r="I22" s="95">
        <f>104.822081809112%-1</f>
        <v>4.822081809112011E-2</v>
      </c>
      <c r="J22" s="96">
        <v>3152</v>
      </c>
      <c r="K22" s="96">
        <f>+ROUND(J22*0.1,0)+1</f>
        <v>316</v>
      </c>
      <c r="L22" s="96">
        <f t="shared" si="2"/>
        <v>3468</v>
      </c>
      <c r="M22" s="104" t="s">
        <v>26</v>
      </c>
      <c r="N22" s="96">
        <v>3152</v>
      </c>
      <c r="O22" s="96">
        <v>316</v>
      </c>
      <c r="P22" s="98">
        <v>3468</v>
      </c>
      <c r="Q22" s="100">
        <v>0.08</v>
      </c>
      <c r="R22" s="101">
        <v>0.1</v>
      </c>
      <c r="S22" s="89">
        <f t="shared" si="3"/>
        <v>315</v>
      </c>
      <c r="T22" s="102">
        <f t="shared" si="4"/>
        <v>-1</v>
      </c>
    </row>
    <row r="23" spans="1:20">
      <c r="A23" s="257"/>
      <c r="B23" s="257"/>
      <c r="C23" s="257"/>
      <c r="D23" s="259"/>
      <c r="E23" s="93" t="s">
        <v>28</v>
      </c>
      <c r="F23" s="94">
        <v>5174</v>
      </c>
      <c r="G23" s="106">
        <v>517</v>
      </c>
      <c r="H23" s="94">
        <f t="shared" si="5"/>
        <v>5691</v>
      </c>
      <c r="I23" s="95">
        <f>104.793196752996%-1</f>
        <v>4.7931967529959874E-2</v>
      </c>
      <c r="J23" s="96">
        <v>5422</v>
      </c>
      <c r="K23" s="96">
        <f t="shared" ref="K23" si="9">+ROUND(J23*0.1,0)</f>
        <v>542</v>
      </c>
      <c r="L23" s="96">
        <f t="shared" si="2"/>
        <v>5964</v>
      </c>
      <c r="M23" s="104" t="s">
        <v>26</v>
      </c>
      <c r="N23" s="96">
        <v>5422</v>
      </c>
      <c r="O23" s="96">
        <v>542</v>
      </c>
      <c r="P23" s="98">
        <v>5964</v>
      </c>
      <c r="Q23" s="100">
        <v>0.08</v>
      </c>
      <c r="R23" s="101">
        <v>0.1</v>
      </c>
      <c r="S23" s="89">
        <f t="shared" si="3"/>
        <v>542</v>
      </c>
      <c r="T23" s="102">
        <f t="shared" si="4"/>
        <v>0</v>
      </c>
    </row>
    <row r="24" spans="1:20">
      <c r="A24" s="257"/>
      <c r="B24" s="257"/>
      <c r="C24" s="257"/>
      <c r="D24" s="93" t="s">
        <v>29</v>
      </c>
      <c r="E24" s="93" t="s">
        <v>20</v>
      </c>
      <c r="F24" s="94">
        <v>2197</v>
      </c>
      <c r="G24" s="93">
        <v>0</v>
      </c>
      <c r="H24" s="94">
        <f t="shared" si="5"/>
        <v>2197</v>
      </c>
      <c r="I24" s="95">
        <v>4.8000000000000001E-2</v>
      </c>
      <c r="J24" s="96">
        <f t="shared" si="7"/>
        <v>2302</v>
      </c>
      <c r="K24" s="97">
        <f t="shared" si="1"/>
        <v>0</v>
      </c>
      <c r="L24" s="98">
        <f t="shared" si="2"/>
        <v>2302</v>
      </c>
      <c r="M24" s="99" t="s">
        <v>21</v>
      </c>
      <c r="N24" s="97">
        <v>2093</v>
      </c>
      <c r="O24" s="97">
        <f>+ROUND(N24*0.1,0)</f>
        <v>209</v>
      </c>
      <c r="P24" s="97">
        <f>+O24+N24</f>
        <v>2302</v>
      </c>
      <c r="Q24" s="100">
        <v>0.08</v>
      </c>
      <c r="R24" s="101">
        <v>0.1</v>
      </c>
      <c r="S24" s="89">
        <f t="shared" si="3"/>
        <v>209</v>
      </c>
      <c r="T24" s="102">
        <f t="shared" si="4"/>
        <v>0</v>
      </c>
    </row>
    <row r="25" spans="1:20">
      <c r="A25" s="258"/>
      <c r="B25" s="258"/>
      <c r="C25" s="258"/>
      <c r="D25" s="93" t="s">
        <v>36</v>
      </c>
      <c r="E25" s="93" t="s">
        <v>20</v>
      </c>
      <c r="F25" s="94">
        <v>3949</v>
      </c>
      <c r="G25" s="93">
        <v>0</v>
      </c>
      <c r="H25" s="94">
        <f t="shared" si="5"/>
        <v>3949</v>
      </c>
      <c r="I25" s="95">
        <v>4.8000000000000001E-2</v>
      </c>
      <c r="J25" s="96">
        <f t="shared" si="7"/>
        <v>4139</v>
      </c>
      <c r="K25" s="97">
        <f t="shared" si="1"/>
        <v>0</v>
      </c>
      <c r="L25" s="98">
        <f t="shared" si="2"/>
        <v>4139</v>
      </c>
      <c r="M25" s="99" t="s">
        <v>21</v>
      </c>
      <c r="N25" s="97">
        <v>3763</v>
      </c>
      <c r="O25" s="97">
        <f>+ROUND(N25*0.1,0)</f>
        <v>376</v>
      </c>
      <c r="P25" s="97">
        <f>+O25+N25</f>
        <v>4139</v>
      </c>
      <c r="Q25" s="100">
        <v>0.08</v>
      </c>
      <c r="R25" s="101">
        <v>0.1</v>
      </c>
      <c r="S25" s="89">
        <f t="shared" si="3"/>
        <v>376</v>
      </c>
      <c r="T25" s="102">
        <f t="shared" si="4"/>
        <v>0</v>
      </c>
    </row>
    <row r="26" spans="1:20">
      <c r="A26" s="256">
        <v>5</v>
      </c>
      <c r="B26" s="256" t="s">
        <v>37</v>
      </c>
      <c r="C26" s="256" t="s">
        <v>18</v>
      </c>
      <c r="D26" s="259" t="s">
        <v>38</v>
      </c>
      <c r="E26" s="93" t="s">
        <v>25</v>
      </c>
      <c r="F26" s="94">
        <v>1830</v>
      </c>
      <c r="G26" s="106">
        <v>183</v>
      </c>
      <c r="H26" s="94">
        <f t="shared" si="5"/>
        <v>2013</v>
      </c>
      <c r="I26" s="95">
        <f>104.808743169399%-1</f>
        <v>4.8087431693989879E-2</v>
      </c>
      <c r="J26" s="96">
        <v>1918</v>
      </c>
      <c r="K26" s="96">
        <f>+ROUND(J26*0.1,0)</f>
        <v>192</v>
      </c>
      <c r="L26" s="96">
        <f t="shared" si="2"/>
        <v>2110</v>
      </c>
      <c r="M26" s="104" t="s">
        <v>26</v>
      </c>
      <c r="N26" s="96">
        <v>1918</v>
      </c>
      <c r="O26" s="96">
        <v>192</v>
      </c>
      <c r="P26" s="98">
        <v>2110</v>
      </c>
      <c r="Q26" s="100">
        <v>0.08</v>
      </c>
      <c r="R26" s="101">
        <v>0.1</v>
      </c>
      <c r="S26" s="89">
        <f t="shared" si="3"/>
        <v>192</v>
      </c>
      <c r="T26" s="102">
        <f t="shared" si="4"/>
        <v>0</v>
      </c>
    </row>
    <row r="27" spans="1:20">
      <c r="A27" s="257"/>
      <c r="B27" s="257"/>
      <c r="C27" s="257"/>
      <c r="D27" s="259"/>
      <c r="E27" s="93" t="s">
        <v>27</v>
      </c>
      <c r="F27" s="94">
        <v>3007</v>
      </c>
      <c r="G27" s="106">
        <v>301</v>
      </c>
      <c r="H27" s="94">
        <f t="shared" si="5"/>
        <v>3308</v>
      </c>
      <c r="I27" s="95">
        <f>104.822081809112%-1</f>
        <v>4.822081809112011E-2</v>
      </c>
      <c r="J27" s="96">
        <v>3152</v>
      </c>
      <c r="K27" s="96">
        <f>+ROUND(J27*0.1,0)+1</f>
        <v>316</v>
      </c>
      <c r="L27" s="96">
        <f t="shared" si="2"/>
        <v>3468</v>
      </c>
      <c r="M27" s="104" t="s">
        <v>26</v>
      </c>
      <c r="N27" s="96">
        <v>3152</v>
      </c>
      <c r="O27" s="96">
        <v>316</v>
      </c>
      <c r="P27" s="98">
        <v>3468</v>
      </c>
      <c r="Q27" s="100">
        <v>0.08</v>
      </c>
      <c r="R27" s="101">
        <v>0.1</v>
      </c>
      <c r="S27" s="89">
        <f t="shared" si="3"/>
        <v>315</v>
      </c>
      <c r="T27" s="102">
        <f t="shared" si="4"/>
        <v>-1</v>
      </c>
    </row>
    <row r="28" spans="1:20">
      <c r="A28" s="257"/>
      <c r="B28" s="257"/>
      <c r="C28" s="257"/>
      <c r="D28" s="259"/>
      <c r="E28" s="93" t="s">
        <v>28</v>
      </c>
      <c r="F28" s="94">
        <v>5174</v>
      </c>
      <c r="G28" s="106">
        <v>517</v>
      </c>
      <c r="H28" s="94">
        <f t="shared" si="5"/>
        <v>5691</v>
      </c>
      <c r="I28" s="95">
        <f>104.793196752996%-1</f>
        <v>4.7931967529959874E-2</v>
      </c>
      <c r="J28" s="96">
        <v>5422</v>
      </c>
      <c r="K28" s="96">
        <f>+ROUND(J28*0.1,0)</f>
        <v>542</v>
      </c>
      <c r="L28" s="96">
        <f t="shared" si="2"/>
        <v>5964</v>
      </c>
      <c r="M28" s="104" t="s">
        <v>26</v>
      </c>
      <c r="N28" s="96">
        <v>5422</v>
      </c>
      <c r="O28" s="96">
        <v>542</v>
      </c>
      <c r="P28" s="98">
        <v>5964</v>
      </c>
      <c r="Q28" s="100">
        <v>0.08</v>
      </c>
      <c r="R28" s="101">
        <v>0.1</v>
      </c>
      <c r="S28" s="89">
        <f t="shared" si="3"/>
        <v>542</v>
      </c>
      <c r="T28" s="102">
        <f t="shared" si="4"/>
        <v>0</v>
      </c>
    </row>
    <row r="29" spans="1:20">
      <c r="A29" s="257"/>
      <c r="B29" s="257"/>
      <c r="C29" s="257"/>
      <c r="D29" s="93" t="s">
        <v>39</v>
      </c>
      <c r="E29" s="93" t="s">
        <v>20</v>
      </c>
      <c r="F29" s="94">
        <v>6417</v>
      </c>
      <c r="G29" s="93">
        <v>0</v>
      </c>
      <c r="H29" s="94">
        <f t="shared" si="5"/>
        <v>6417</v>
      </c>
      <c r="I29" s="95">
        <v>4.8000000000000001E-2</v>
      </c>
      <c r="J29" s="96">
        <f t="shared" si="7"/>
        <v>6725</v>
      </c>
      <c r="K29" s="97">
        <f t="shared" si="1"/>
        <v>0</v>
      </c>
      <c r="L29" s="98">
        <f t="shared" si="2"/>
        <v>6725</v>
      </c>
      <c r="M29" s="99" t="s">
        <v>21</v>
      </c>
      <c r="N29" s="97">
        <v>6113.6363636363631</v>
      </c>
      <c r="O29" s="97">
        <f>+ROUND(N29*0.1,0)</f>
        <v>611</v>
      </c>
      <c r="P29" s="97">
        <f>+O29+N29</f>
        <v>6724.6363636363631</v>
      </c>
      <c r="Q29" s="100">
        <v>0.08</v>
      </c>
      <c r="R29" s="101">
        <v>0.1</v>
      </c>
      <c r="S29" s="89">
        <f t="shared" si="3"/>
        <v>611</v>
      </c>
      <c r="T29" s="102">
        <f t="shared" si="4"/>
        <v>0</v>
      </c>
    </row>
    <row r="30" spans="1:20" ht="15">
      <c r="A30" s="257"/>
      <c r="B30" s="257"/>
      <c r="C30" s="257"/>
      <c r="D30" s="103" t="s">
        <v>40</v>
      </c>
      <c r="E30" s="103" t="s">
        <v>20</v>
      </c>
      <c r="F30" s="130">
        <v>4724</v>
      </c>
      <c r="G30" s="103">
        <v>0</v>
      </c>
      <c r="H30" s="130">
        <f t="shared" si="5"/>
        <v>4724</v>
      </c>
      <c r="I30" s="131">
        <v>4.8000000000000001E-2</v>
      </c>
      <c r="J30" s="132">
        <f t="shared" si="7"/>
        <v>4951</v>
      </c>
      <c r="K30" s="133">
        <f t="shared" si="1"/>
        <v>0</v>
      </c>
      <c r="L30" s="134">
        <f t="shared" si="2"/>
        <v>4951</v>
      </c>
      <c r="M30" s="135" t="s">
        <v>21</v>
      </c>
      <c r="N30" s="133">
        <v>4501</v>
      </c>
      <c r="O30" s="133">
        <f>+ROUND(N30*0.1,0)</f>
        <v>450</v>
      </c>
      <c r="P30" s="133">
        <f>+O30+N30</f>
        <v>4951</v>
      </c>
      <c r="Q30" s="136">
        <v>0.08</v>
      </c>
      <c r="R30" s="137">
        <v>0.1</v>
      </c>
      <c r="S30" s="89">
        <f t="shared" si="3"/>
        <v>450</v>
      </c>
      <c r="T30" s="102">
        <f t="shared" si="4"/>
        <v>0</v>
      </c>
    </row>
    <row r="31" spans="1:20" ht="15">
      <c r="A31" s="306">
        <v>6</v>
      </c>
      <c r="B31" s="306" t="s">
        <v>41</v>
      </c>
      <c r="C31" s="306" t="s">
        <v>18</v>
      </c>
      <c r="D31" s="122" t="s">
        <v>42</v>
      </c>
      <c r="E31" s="122" t="s">
        <v>20</v>
      </c>
      <c r="F31" s="123">
        <v>4669</v>
      </c>
      <c r="G31" s="122">
        <f>0</f>
        <v>0</v>
      </c>
      <c r="H31" s="124">
        <f>+F31+G31</f>
        <v>4669</v>
      </c>
      <c r="I31" s="125">
        <v>4.8000000000000001E-2</v>
      </c>
      <c r="J31" s="126">
        <v>4893</v>
      </c>
      <c r="K31" s="126"/>
      <c r="L31" s="138">
        <f>+J31+K31</f>
        <v>4893</v>
      </c>
      <c r="M31" s="139" t="s">
        <v>21</v>
      </c>
      <c r="N31" s="126">
        <v>4448</v>
      </c>
      <c r="O31" s="126">
        <v>445</v>
      </c>
      <c r="P31" s="138">
        <f>+O31+N31</f>
        <v>4893</v>
      </c>
      <c r="Q31" s="127">
        <v>0.08</v>
      </c>
      <c r="R31" s="128">
        <v>0.1</v>
      </c>
      <c r="S31" s="89"/>
      <c r="T31" s="102"/>
    </row>
    <row r="32" spans="1:20" ht="22.5">
      <c r="A32" s="307"/>
      <c r="B32" s="307"/>
      <c r="C32" s="307"/>
      <c r="D32" s="122" t="s">
        <v>43</v>
      </c>
      <c r="E32" s="122" t="s">
        <v>20</v>
      </c>
      <c r="F32" s="123">
        <v>537177</v>
      </c>
      <c r="G32" s="122">
        <f>0</f>
        <v>0</v>
      </c>
      <c r="H32" s="124">
        <f>+F32+G32</f>
        <v>537177</v>
      </c>
      <c r="I32" s="125">
        <v>4.8000000000000001E-2</v>
      </c>
      <c r="J32" s="126">
        <v>562961</v>
      </c>
      <c r="K32" s="126"/>
      <c r="L32" s="138">
        <f>+J32+K32</f>
        <v>562961</v>
      </c>
      <c r="M32" s="140" t="s">
        <v>21</v>
      </c>
      <c r="N32" s="126">
        <v>562961</v>
      </c>
      <c r="O32" s="126">
        <f>0</f>
        <v>0</v>
      </c>
      <c r="P32" s="138">
        <f>+O32+N32</f>
        <v>562961</v>
      </c>
      <c r="Q32" s="141">
        <v>0.1</v>
      </c>
      <c r="R32" s="128"/>
      <c r="S32" s="89"/>
      <c r="T32" s="102"/>
    </row>
    <row r="33" spans="1:20" ht="22.5">
      <c r="A33" s="307"/>
      <c r="B33" s="307"/>
      <c r="C33" s="307"/>
      <c r="D33" s="164" t="s">
        <v>44</v>
      </c>
      <c r="E33" s="165" t="s">
        <v>20</v>
      </c>
      <c r="F33" s="166">
        <v>2766456</v>
      </c>
      <c r="G33" s="164">
        <f>0</f>
        <v>0</v>
      </c>
      <c r="H33" s="167">
        <f>+F33+G33</f>
        <v>2766456</v>
      </c>
      <c r="I33" s="168">
        <v>4.8000000000000001E-2</v>
      </c>
      <c r="J33" s="169">
        <v>2899246</v>
      </c>
      <c r="K33" s="169"/>
      <c r="L33" s="170">
        <f>+J33+K33</f>
        <v>2899246</v>
      </c>
      <c r="M33" s="171" t="s">
        <v>21</v>
      </c>
      <c r="N33" s="169">
        <v>2899246</v>
      </c>
      <c r="O33" s="169">
        <f>0</f>
        <v>0</v>
      </c>
      <c r="P33" s="170">
        <f>+O33+N33</f>
        <v>2899246</v>
      </c>
      <c r="Q33" s="172">
        <v>0.1</v>
      </c>
      <c r="R33" s="173"/>
      <c r="S33" s="89"/>
      <c r="T33" s="102"/>
    </row>
    <row r="34" spans="1:20" ht="15" customHeight="1">
      <c r="A34" s="306">
        <v>7</v>
      </c>
      <c r="B34" s="306" t="s">
        <v>45</v>
      </c>
      <c r="C34" s="306" t="s">
        <v>18</v>
      </c>
      <c r="D34" s="306" t="s">
        <v>46</v>
      </c>
      <c r="E34" s="129" t="s">
        <v>25</v>
      </c>
      <c r="F34" s="201"/>
      <c r="G34" s="201"/>
      <c r="H34" s="201"/>
      <c r="I34" s="168"/>
      <c r="J34" s="155">
        <v>1918</v>
      </c>
      <c r="K34" s="155">
        <f>+ROUND(J34*0.1,0)</f>
        <v>192</v>
      </c>
      <c r="L34" s="155">
        <f>+J34+K34</f>
        <v>2110</v>
      </c>
      <c r="M34" s="156" t="s">
        <v>26</v>
      </c>
      <c r="N34" s="155">
        <v>1918</v>
      </c>
      <c r="O34" s="155">
        <v>192</v>
      </c>
      <c r="P34" s="155">
        <v>2110</v>
      </c>
      <c r="Q34" s="157">
        <v>0.08</v>
      </c>
      <c r="R34" s="158">
        <v>0.1</v>
      </c>
      <c r="S34" s="159">
        <f>ROUND(N34*0.1,0)</f>
        <v>192</v>
      </c>
      <c r="T34" s="160">
        <f>+S34-O34</f>
        <v>0</v>
      </c>
    </row>
    <row r="35" spans="1:20" ht="15" customHeight="1">
      <c r="A35" s="307"/>
      <c r="B35" s="307"/>
      <c r="C35" s="307"/>
      <c r="D35" s="307"/>
      <c r="E35" s="129" t="s">
        <v>27</v>
      </c>
      <c r="F35" s="201"/>
      <c r="G35" s="201"/>
      <c r="H35" s="201"/>
      <c r="I35" s="168"/>
      <c r="J35" s="155">
        <v>3152</v>
      </c>
      <c r="K35" s="155">
        <f>+ROUND(J35*0.1,0)+1</f>
        <v>316</v>
      </c>
      <c r="L35" s="155">
        <f>+J35+K35</f>
        <v>3468</v>
      </c>
      <c r="M35" s="156" t="s">
        <v>26</v>
      </c>
      <c r="N35" s="155">
        <v>3152</v>
      </c>
      <c r="O35" s="155">
        <v>316</v>
      </c>
      <c r="P35" s="155">
        <v>3468</v>
      </c>
      <c r="Q35" s="157">
        <v>0.08</v>
      </c>
      <c r="R35" s="158">
        <v>0.1</v>
      </c>
      <c r="S35" s="159">
        <f>ROUND(N35*0.1,0)</f>
        <v>315</v>
      </c>
      <c r="T35" s="160">
        <f>+S35-O35</f>
        <v>-1</v>
      </c>
    </row>
    <row r="36" spans="1:20" ht="15" customHeight="1">
      <c r="A36" s="307"/>
      <c r="B36" s="307"/>
      <c r="C36" s="307"/>
      <c r="D36" s="307"/>
      <c r="E36" s="129" t="s">
        <v>28</v>
      </c>
      <c r="F36" s="201"/>
      <c r="G36" s="201"/>
      <c r="H36" s="201"/>
      <c r="I36" s="168"/>
      <c r="J36" s="155">
        <v>5422</v>
      </c>
      <c r="K36" s="155">
        <f>+ROUND(J36*0.1,0)</f>
        <v>542</v>
      </c>
      <c r="L36" s="155">
        <f>+J36+K36</f>
        <v>5964</v>
      </c>
      <c r="M36" s="156" t="s">
        <v>26</v>
      </c>
      <c r="N36" s="196">
        <v>5422</v>
      </c>
      <c r="O36" s="155">
        <v>542</v>
      </c>
      <c r="P36" s="155">
        <v>5964</v>
      </c>
      <c r="Q36" s="157">
        <v>0.08</v>
      </c>
      <c r="R36" s="158">
        <v>0.1</v>
      </c>
      <c r="S36" s="159">
        <f>ROUND(N36*0.1,0)</f>
        <v>542</v>
      </c>
      <c r="T36" s="160">
        <f>+S36-O36</f>
        <v>0</v>
      </c>
    </row>
    <row r="37" spans="1:20" ht="15">
      <c r="A37" s="307"/>
      <c r="B37" s="307"/>
      <c r="C37" s="307"/>
      <c r="D37" s="308"/>
      <c r="E37" s="164" t="s">
        <v>47</v>
      </c>
      <c r="F37" s="201"/>
      <c r="G37" s="201"/>
      <c r="H37" s="201"/>
      <c r="I37" s="168"/>
      <c r="J37" s="166">
        <v>1727747</v>
      </c>
      <c r="K37" s="212">
        <v>107581</v>
      </c>
      <c r="L37" s="191">
        <v>1835328</v>
      </c>
      <c r="M37" s="195" t="s">
        <v>48</v>
      </c>
      <c r="N37" s="166">
        <v>1727747</v>
      </c>
      <c r="O37" s="212">
        <v>107581</v>
      </c>
      <c r="P37" s="191">
        <v>1835328</v>
      </c>
      <c r="Q37" s="100">
        <v>0.08</v>
      </c>
      <c r="R37" s="173">
        <v>6.2E-2</v>
      </c>
      <c r="S37" s="192"/>
      <c r="T37" s="193"/>
    </row>
    <row r="38" spans="1:20" ht="13.9" customHeight="1">
      <c r="A38" s="306">
        <v>8</v>
      </c>
      <c r="B38" s="306" t="s">
        <v>49</v>
      </c>
      <c r="C38" s="306" t="s">
        <v>18</v>
      </c>
      <c r="D38" s="319" t="s">
        <v>50</v>
      </c>
      <c r="E38" s="129" t="s">
        <v>25</v>
      </c>
      <c r="F38" s="181"/>
      <c r="G38" s="122"/>
      <c r="H38" s="194"/>
      <c r="I38" s="161"/>
      <c r="J38" s="126"/>
      <c r="K38" s="162"/>
      <c r="L38" s="163"/>
      <c r="M38" s="129" t="s">
        <v>25</v>
      </c>
      <c r="N38" s="197">
        <v>1918</v>
      </c>
      <c r="O38" s="162"/>
      <c r="P38" s="162"/>
      <c r="Q38" s="157">
        <v>0.08</v>
      </c>
      <c r="R38" s="128">
        <v>0.1</v>
      </c>
      <c r="S38" s="159"/>
      <c r="T38" s="160"/>
    </row>
    <row r="39" spans="1:20" ht="13.9" customHeight="1">
      <c r="A39" s="307"/>
      <c r="B39" s="307"/>
      <c r="C39" s="307"/>
      <c r="D39" s="320"/>
      <c r="E39" s="129" t="s">
        <v>27</v>
      </c>
      <c r="F39" s="181"/>
      <c r="G39" s="122"/>
      <c r="H39" s="194"/>
      <c r="I39" s="161"/>
      <c r="J39" s="126"/>
      <c r="K39" s="162"/>
      <c r="L39" s="163"/>
      <c r="M39" s="129" t="s">
        <v>27</v>
      </c>
      <c r="N39" s="123">
        <v>3152</v>
      </c>
      <c r="O39" s="162"/>
      <c r="P39" s="162"/>
      <c r="Q39" s="157">
        <v>0.08</v>
      </c>
      <c r="R39" s="128">
        <v>0.1</v>
      </c>
      <c r="S39" s="159"/>
      <c r="T39" s="160"/>
    </row>
    <row r="40" spans="1:20" ht="13.9" customHeight="1">
      <c r="A40" s="307"/>
      <c r="B40" s="307"/>
      <c r="C40" s="307"/>
      <c r="D40" s="321"/>
      <c r="E40" s="129" t="s">
        <v>28</v>
      </c>
      <c r="F40" s="181"/>
      <c r="G40" s="122"/>
      <c r="H40" s="194"/>
      <c r="I40" s="161"/>
      <c r="J40" s="126"/>
      <c r="K40" s="162"/>
      <c r="L40" s="163"/>
      <c r="M40" s="129" t="s">
        <v>28</v>
      </c>
      <c r="N40" s="166">
        <v>5422</v>
      </c>
      <c r="O40" s="190"/>
      <c r="P40" s="190"/>
      <c r="Q40" s="157">
        <v>0.08</v>
      </c>
      <c r="R40" s="128">
        <v>0.1</v>
      </c>
      <c r="S40" s="159"/>
      <c r="T40" s="160"/>
    </row>
    <row r="41" spans="1:20" ht="13.9" customHeight="1">
      <c r="A41" s="306">
        <v>9</v>
      </c>
      <c r="B41" s="306" t="s">
        <v>51</v>
      </c>
      <c r="C41" s="306" t="s">
        <v>18</v>
      </c>
      <c r="D41" s="202" t="s">
        <v>19</v>
      </c>
      <c r="E41" s="202" t="s">
        <v>20</v>
      </c>
      <c r="F41" s="203">
        <v>4703</v>
      </c>
      <c r="G41" s="202">
        <v>0</v>
      </c>
      <c r="H41" s="203">
        <v>4703</v>
      </c>
      <c r="I41" s="204">
        <v>4.8000000000000001E-2</v>
      </c>
      <c r="J41" s="203">
        <v>4929</v>
      </c>
      <c r="K41" s="202" t="s">
        <v>52</v>
      </c>
      <c r="L41" s="203">
        <v>4929</v>
      </c>
      <c r="M41" s="209" t="s">
        <v>53</v>
      </c>
      <c r="N41" s="123">
        <f>L41/1.1</f>
        <v>4480.909090909091</v>
      </c>
      <c r="O41" s="162">
        <f>N41*10%</f>
        <v>448.09090909090912</v>
      </c>
      <c r="P41" s="162">
        <f>N41+O41</f>
        <v>4929</v>
      </c>
      <c r="Q41" s="211">
        <v>0.08</v>
      </c>
      <c r="R41" s="158">
        <v>0.1</v>
      </c>
      <c r="S41" s="89"/>
      <c r="T41" s="102"/>
    </row>
    <row r="42" spans="1:20" ht="13.9" customHeight="1">
      <c r="A42" s="307"/>
      <c r="B42" s="307"/>
      <c r="C42" s="307"/>
      <c r="D42" s="322" t="s">
        <v>54</v>
      </c>
      <c r="E42" s="205" t="s">
        <v>55</v>
      </c>
      <c r="F42" s="206">
        <v>3730</v>
      </c>
      <c r="G42" s="205">
        <v>0</v>
      </c>
      <c r="H42" s="206">
        <v>3730</v>
      </c>
      <c r="I42" s="207">
        <v>4.8000000000000001E-2</v>
      </c>
      <c r="J42" s="206">
        <v>3909</v>
      </c>
      <c r="K42" s="205" t="s">
        <v>52</v>
      </c>
      <c r="L42" s="206">
        <v>3909</v>
      </c>
      <c r="M42" s="210" t="s">
        <v>53</v>
      </c>
      <c r="N42" s="123">
        <f>L42/1.1</f>
        <v>3553.6363636363635</v>
      </c>
      <c r="O42" s="162">
        <f>N42*10%</f>
        <v>355.36363636363637</v>
      </c>
      <c r="P42" s="162">
        <f>N42+O42</f>
        <v>3909</v>
      </c>
      <c r="Q42" s="211">
        <v>0.08</v>
      </c>
      <c r="R42" s="158">
        <v>0.1</v>
      </c>
      <c r="S42" s="89"/>
      <c r="T42" s="102"/>
    </row>
    <row r="43" spans="1:20" ht="13.9" customHeight="1">
      <c r="A43" s="307"/>
      <c r="B43" s="307"/>
      <c r="C43" s="307"/>
      <c r="D43" s="322"/>
      <c r="E43" s="318" t="s">
        <v>56</v>
      </c>
      <c r="F43" s="206">
        <v>1830</v>
      </c>
      <c r="G43" s="205">
        <v>0</v>
      </c>
      <c r="H43" s="206">
        <v>1830</v>
      </c>
      <c r="I43" s="207">
        <v>4.8000000000000001E-2</v>
      </c>
      <c r="J43" s="208">
        <v>1918</v>
      </c>
      <c r="K43" s="205" t="s">
        <v>52</v>
      </c>
      <c r="L43" s="206">
        <v>1918</v>
      </c>
      <c r="M43" s="210" t="s">
        <v>57</v>
      </c>
      <c r="N43" s="123">
        <f>L43/1.1</f>
        <v>1743.6363636363635</v>
      </c>
      <c r="O43" s="162">
        <f>N43*10%</f>
        <v>174.36363636363637</v>
      </c>
      <c r="P43" s="162">
        <f>N43+O43</f>
        <v>1918</v>
      </c>
      <c r="Q43" s="211">
        <v>0.08</v>
      </c>
      <c r="R43" s="158">
        <v>0.1</v>
      </c>
      <c r="S43" s="89"/>
      <c r="T43" s="102"/>
    </row>
    <row r="44" spans="1:20" ht="13.9" customHeight="1">
      <c r="A44" s="307"/>
      <c r="B44" s="307"/>
      <c r="C44" s="307"/>
      <c r="D44" s="322"/>
      <c r="E44" s="318"/>
      <c r="F44" s="206">
        <v>3007</v>
      </c>
      <c r="G44" s="205">
        <v>0</v>
      </c>
      <c r="H44" s="206">
        <v>3007</v>
      </c>
      <c r="I44" s="207">
        <v>4.8000000000000001E-2</v>
      </c>
      <c r="J44" s="208">
        <v>3152</v>
      </c>
      <c r="K44" s="205" t="s">
        <v>52</v>
      </c>
      <c r="L44" s="206">
        <v>3152</v>
      </c>
      <c r="M44" s="210" t="s">
        <v>57</v>
      </c>
      <c r="N44" s="123">
        <f>L44/1.1</f>
        <v>2865.454545454545</v>
      </c>
      <c r="O44" s="162">
        <f>N44*10%</f>
        <v>286.5454545454545</v>
      </c>
      <c r="P44" s="162">
        <f>N44+O44</f>
        <v>3151.9999999999995</v>
      </c>
      <c r="Q44" s="211">
        <v>0.08</v>
      </c>
      <c r="R44" s="158">
        <v>0.1</v>
      </c>
      <c r="S44" s="89"/>
      <c r="T44" s="102"/>
    </row>
    <row r="45" spans="1:20" ht="13.9" customHeight="1">
      <c r="A45" s="307"/>
      <c r="B45" s="307"/>
      <c r="C45" s="307"/>
      <c r="D45" s="322"/>
      <c r="E45" s="318"/>
      <c r="F45" s="227">
        <v>5174</v>
      </c>
      <c r="G45" s="228">
        <v>0</v>
      </c>
      <c r="H45" s="227">
        <v>5174</v>
      </c>
      <c r="I45" s="229">
        <v>4.8000000000000001E-2</v>
      </c>
      <c r="J45" s="230">
        <v>5422</v>
      </c>
      <c r="K45" s="228" t="s">
        <v>52</v>
      </c>
      <c r="L45" s="227">
        <v>5422</v>
      </c>
      <c r="M45" s="219" t="s">
        <v>57</v>
      </c>
      <c r="N45" s="166">
        <f>L45/1.1</f>
        <v>4929.090909090909</v>
      </c>
      <c r="O45" s="190">
        <f>N45*10%</f>
        <v>492.90909090909093</v>
      </c>
      <c r="P45" s="190">
        <f>N45+O45</f>
        <v>5422</v>
      </c>
      <c r="Q45" s="231">
        <v>0.08</v>
      </c>
      <c r="R45" s="232">
        <v>0.1</v>
      </c>
      <c r="S45" s="89"/>
      <c r="T45" s="102"/>
    </row>
    <row r="46" spans="1:20" ht="13.9" customHeight="1">
      <c r="A46" s="254">
        <v>10</v>
      </c>
      <c r="B46" s="254" t="s">
        <v>58</v>
      </c>
      <c r="C46" s="254" t="s">
        <v>18</v>
      </c>
      <c r="D46" s="254" t="s">
        <v>50</v>
      </c>
      <c r="E46" s="129" t="s">
        <v>25</v>
      </c>
      <c r="F46" s="181"/>
      <c r="G46" s="129"/>
      <c r="H46" s="124"/>
      <c r="I46" s="125"/>
      <c r="J46" s="226"/>
      <c r="K46" s="155"/>
      <c r="L46" s="155"/>
      <c r="M46" s="129"/>
      <c r="N46" s="124"/>
      <c r="O46" s="226">
        <v>1918</v>
      </c>
      <c r="P46" s="155">
        <f>+ROUND(O46*0.1,0)</f>
        <v>192</v>
      </c>
      <c r="Q46" s="157">
        <v>0.08</v>
      </c>
      <c r="R46" s="158">
        <v>0.1</v>
      </c>
      <c r="S46" s="223"/>
      <c r="T46" s="224"/>
    </row>
    <row r="47" spans="1:20" ht="13.9" customHeight="1">
      <c r="A47" s="254"/>
      <c r="B47" s="254"/>
      <c r="C47" s="254"/>
      <c r="D47" s="254"/>
      <c r="E47" s="129" t="s">
        <v>27</v>
      </c>
      <c r="F47" s="181"/>
      <c r="G47" s="129"/>
      <c r="H47" s="124"/>
      <c r="I47" s="125"/>
      <c r="J47" s="226"/>
      <c r="K47" s="155"/>
      <c r="L47" s="155"/>
      <c r="M47" s="129"/>
      <c r="N47" s="124"/>
      <c r="O47" s="226">
        <v>3152</v>
      </c>
      <c r="P47" s="155">
        <f>+ROUND(O47*0.1,0)+1</f>
        <v>316</v>
      </c>
      <c r="Q47" s="157">
        <v>0.08</v>
      </c>
      <c r="R47" s="158">
        <v>0.1</v>
      </c>
      <c r="S47" s="223"/>
      <c r="T47" s="224"/>
    </row>
    <row r="48" spans="1:20" ht="13.9" customHeight="1">
      <c r="A48" s="254"/>
      <c r="B48" s="306"/>
      <c r="C48" s="306"/>
      <c r="D48" s="254"/>
      <c r="E48" s="129" t="s">
        <v>28</v>
      </c>
      <c r="F48" s="181"/>
      <c r="G48" s="129"/>
      <c r="H48" s="124"/>
      <c r="I48" s="125"/>
      <c r="J48" s="226"/>
      <c r="K48" s="155"/>
      <c r="L48" s="155"/>
      <c r="M48" s="129"/>
      <c r="N48" s="124"/>
      <c r="O48" s="226">
        <v>5422</v>
      </c>
      <c r="P48" s="155">
        <f>+ROUND(O48*0.1,0)</f>
        <v>542</v>
      </c>
      <c r="Q48" s="157">
        <v>0.08</v>
      </c>
      <c r="R48" s="158">
        <v>0.1</v>
      </c>
      <c r="S48" s="223"/>
      <c r="T48" s="224"/>
    </row>
    <row r="49" spans="1:20" ht="22.5">
      <c r="A49" s="214"/>
      <c r="B49" s="254" t="s">
        <v>59</v>
      </c>
      <c r="C49" s="254" t="s">
        <v>18</v>
      </c>
      <c r="D49" s="249" t="s">
        <v>19</v>
      </c>
      <c r="E49" s="235" t="s">
        <v>25</v>
      </c>
      <c r="F49" s="236">
        <v>2014</v>
      </c>
      <c r="G49" s="237">
        <v>0</v>
      </c>
      <c r="H49" s="238">
        <v>2014</v>
      </c>
      <c r="I49" s="242">
        <v>4.8000000000000001E-2</v>
      </c>
      <c r="J49" s="238">
        <v>2111</v>
      </c>
      <c r="K49" s="237" t="s">
        <v>60</v>
      </c>
      <c r="L49" s="238">
        <v>2111</v>
      </c>
      <c r="M49" s="244" t="s">
        <v>61</v>
      </c>
      <c r="N49" s="96">
        <v>1918</v>
      </c>
      <c r="O49" s="96">
        <v>192</v>
      </c>
      <c r="P49" s="98">
        <v>2110</v>
      </c>
      <c r="Q49" s="100">
        <v>0.08</v>
      </c>
      <c r="R49" s="101">
        <v>0.1</v>
      </c>
      <c r="S49" s="89"/>
      <c r="T49" s="102"/>
    </row>
    <row r="50" spans="1:20" ht="22.5">
      <c r="A50" s="214"/>
      <c r="B50" s="254"/>
      <c r="C50" s="254"/>
      <c r="D50" s="250"/>
      <c r="E50" s="234" t="s">
        <v>27</v>
      </c>
      <c r="F50" s="239">
        <v>3308</v>
      </c>
      <c r="G50" s="240">
        <v>0</v>
      </c>
      <c r="H50" s="241">
        <v>3308</v>
      </c>
      <c r="I50" s="243">
        <v>4.8000000000000001E-2</v>
      </c>
      <c r="J50" s="241">
        <v>3468</v>
      </c>
      <c r="K50" s="240" t="s">
        <v>60</v>
      </c>
      <c r="L50" s="241">
        <v>3468</v>
      </c>
      <c r="M50" s="245" t="s">
        <v>61</v>
      </c>
      <c r="N50" s="96">
        <v>3152</v>
      </c>
      <c r="O50" s="96">
        <v>316</v>
      </c>
      <c r="P50" s="98">
        <v>3468</v>
      </c>
      <c r="Q50" s="100">
        <v>0.08</v>
      </c>
      <c r="R50" s="101">
        <v>0.1</v>
      </c>
      <c r="S50" s="89"/>
      <c r="T50" s="102"/>
    </row>
    <row r="51" spans="1:20" ht="22.5">
      <c r="A51" s="214"/>
      <c r="B51" s="254"/>
      <c r="C51" s="254"/>
      <c r="D51" s="251"/>
      <c r="E51" s="234" t="s">
        <v>28</v>
      </c>
      <c r="F51" s="239">
        <v>5691</v>
      </c>
      <c r="G51" s="240">
        <v>0</v>
      </c>
      <c r="H51" s="241">
        <v>5691</v>
      </c>
      <c r="I51" s="243">
        <v>4.8000000000000001E-2</v>
      </c>
      <c r="J51" s="241">
        <v>5964</v>
      </c>
      <c r="K51" s="240" t="s">
        <v>60</v>
      </c>
      <c r="L51" s="241">
        <v>5964</v>
      </c>
      <c r="M51" s="245" t="s">
        <v>61</v>
      </c>
      <c r="N51" s="132">
        <v>5422</v>
      </c>
      <c r="O51" s="132">
        <v>542</v>
      </c>
      <c r="P51" s="134">
        <v>5964</v>
      </c>
      <c r="Q51" s="136">
        <v>0.08</v>
      </c>
      <c r="R51" s="137">
        <v>0.1</v>
      </c>
      <c r="S51" s="89"/>
      <c r="T51" s="102"/>
    </row>
    <row r="52" spans="1:20" ht="22.5">
      <c r="A52" s="214"/>
      <c r="B52" s="254"/>
      <c r="C52" s="254"/>
      <c r="D52" s="248" t="s">
        <v>62</v>
      </c>
      <c r="E52" s="234" t="s">
        <v>20</v>
      </c>
      <c r="F52" s="239">
        <v>4023</v>
      </c>
      <c r="G52" s="240">
        <v>0</v>
      </c>
      <c r="H52" s="241">
        <v>4023</v>
      </c>
      <c r="I52" s="243">
        <v>4.8000000000000001E-2</v>
      </c>
      <c r="J52" s="241">
        <v>4216</v>
      </c>
      <c r="K52" s="240" t="s">
        <v>60</v>
      </c>
      <c r="L52" s="241">
        <v>4216</v>
      </c>
      <c r="M52" s="247" t="s">
        <v>53</v>
      </c>
      <c r="N52" s="123">
        <v>3833</v>
      </c>
      <c r="O52" s="246">
        <v>383</v>
      </c>
      <c r="P52" s="246">
        <v>4216</v>
      </c>
      <c r="Q52" s="136">
        <v>0.08</v>
      </c>
      <c r="R52" s="158"/>
      <c r="S52" s="89"/>
      <c r="T52" s="102"/>
    </row>
    <row r="53" spans="1:20" ht="22.5">
      <c r="A53" s="214"/>
      <c r="B53" s="254"/>
      <c r="C53" s="254"/>
      <c r="D53" s="248" t="s">
        <v>63</v>
      </c>
      <c r="E53" s="252" t="s">
        <v>64</v>
      </c>
      <c r="F53" s="239">
        <v>2530196</v>
      </c>
      <c r="G53" s="240">
        <v>0</v>
      </c>
      <c r="H53" s="241">
        <v>2530196</v>
      </c>
      <c r="I53" s="243">
        <v>4.8000000000000001E-2</v>
      </c>
      <c r="J53" s="241">
        <v>2651645</v>
      </c>
      <c r="K53" s="240" t="s">
        <v>60</v>
      </c>
      <c r="L53" s="241">
        <v>2651645</v>
      </c>
      <c r="M53" s="247" t="s">
        <v>53</v>
      </c>
      <c r="N53" s="236">
        <v>2651645</v>
      </c>
      <c r="O53" s="246"/>
      <c r="P53" s="236">
        <v>2651645</v>
      </c>
      <c r="Q53" s="157">
        <v>0.1</v>
      </c>
      <c r="R53" s="158"/>
      <c r="S53" s="89"/>
      <c r="T53" s="102"/>
    </row>
    <row r="54" spans="1:20" ht="22.5">
      <c r="A54" s="214"/>
      <c r="B54" s="254"/>
      <c r="C54" s="254"/>
      <c r="D54" s="248" t="s">
        <v>65</v>
      </c>
      <c r="E54" s="252"/>
      <c r="F54" s="239">
        <v>73137</v>
      </c>
      <c r="G54" s="240">
        <v>0</v>
      </c>
      <c r="H54" s="241">
        <v>73137</v>
      </c>
      <c r="I54" s="243">
        <v>4.8000000000000001E-2</v>
      </c>
      <c r="J54" s="241">
        <v>76648</v>
      </c>
      <c r="K54" s="240" t="s">
        <v>60</v>
      </c>
      <c r="L54" s="241">
        <v>76648</v>
      </c>
      <c r="M54" s="247" t="s">
        <v>53</v>
      </c>
      <c r="N54" s="239">
        <v>76648</v>
      </c>
      <c r="O54" s="246"/>
      <c r="P54" s="239">
        <v>76648</v>
      </c>
      <c r="Q54" s="157">
        <v>0.1</v>
      </c>
      <c r="R54" s="158"/>
      <c r="S54" s="89"/>
      <c r="T54" s="102"/>
    </row>
    <row r="55" spans="1:20" ht="22.5">
      <c r="A55" s="214"/>
      <c r="B55" s="254"/>
      <c r="C55" s="254"/>
      <c r="D55" s="248" t="s">
        <v>66</v>
      </c>
      <c r="E55" s="252"/>
      <c r="F55" s="239">
        <v>48098</v>
      </c>
      <c r="G55" s="240">
        <v>0</v>
      </c>
      <c r="H55" s="241">
        <v>48098</v>
      </c>
      <c r="I55" s="243">
        <v>4.8000000000000001E-2</v>
      </c>
      <c r="J55" s="241">
        <v>50407</v>
      </c>
      <c r="K55" s="240" t="s">
        <v>60</v>
      </c>
      <c r="L55" s="241">
        <v>50407</v>
      </c>
      <c r="M55" s="247" t="s">
        <v>53</v>
      </c>
      <c r="N55" s="239">
        <v>50407</v>
      </c>
      <c r="O55" s="246"/>
      <c r="P55" s="239">
        <v>50407</v>
      </c>
      <c r="Q55" s="157">
        <v>0.1</v>
      </c>
      <c r="R55" s="158"/>
      <c r="S55" s="89"/>
      <c r="T55" s="102"/>
    </row>
    <row r="56" spans="1:20" ht="22.5">
      <c r="A56" s="214"/>
      <c r="B56" s="254"/>
      <c r="C56" s="254"/>
      <c r="D56" s="248" t="s">
        <v>67</v>
      </c>
      <c r="E56" s="252"/>
      <c r="F56" s="239">
        <v>831175</v>
      </c>
      <c r="G56" s="240">
        <v>0</v>
      </c>
      <c r="H56" s="241">
        <v>831175</v>
      </c>
      <c r="I56" s="243">
        <v>4.8000000000000001E-2</v>
      </c>
      <c r="J56" s="241">
        <v>871071</v>
      </c>
      <c r="K56" s="240" t="s">
        <v>60</v>
      </c>
      <c r="L56" s="241">
        <v>871071</v>
      </c>
      <c r="M56" s="247" t="s">
        <v>53</v>
      </c>
      <c r="N56" s="239">
        <v>871071</v>
      </c>
      <c r="O56" s="246"/>
      <c r="P56" s="239">
        <v>871071</v>
      </c>
      <c r="Q56" s="157">
        <v>0.1</v>
      </c>
      <c r="R56" s="158"/>
      <c r="S56" s="89"/>
      <c r="T56" s="102"/>
    </row>
    <row r="57" spans="1:20" ht="22.5">
      <c r="A57" s="214"/>
      <c r="B57" s="254"/>
      <c r="C57" s="254"/>
      <c r="D57" s="248" t="s">
        <v>68</v>
      </c>
      <c r="E57" s="253"/>
      <c r="F57" s="239">
        <v>6459993</v>
      </c>
      <c r="G57" s="240">
        <v>0</v>
      </c>
      <c r="H57" s="241">
        <v>6459993</v>
      </c>
      <c r="I57" s="243">
        <v>4.8000000000000001E-2</v>
      </c>
      <c r="J57" s="241">
        <v>6770073</v>
      </c>
      <c r="K57" s="240" t="s">
        <v>60</v>
      </c>
      <c r="L57" s="241">
        <v>6770073</v>
      </c>
      <c r="M57" s="247" t="s">
        <v>53</v>
      </c>
      <c r="N57" s="239">
        <v>6770073</v>
      </c>
      <c r="O57" s="246"/>
      <c r="P57" s="239">
        <v>6770073</v>
      </c>
      <c r="Q57" s="157">
        <v>0.1</v>
      </c>
      <c r="R57" s="158"/>
      <c r="S57" s="89"/>
      <c r="T57" s="102"/>
    </row>
    <row r="58" spans="1:20" ht="13.9" customHeight="1">
      <c r="A58" s="214"/>
      <c r="B58" s="214"/>
      <c r="C58" s="214"/>
      <c r="D58" s="215"/>
      <c r="E58" s="215"/>
      <c r="F58" s="216"/>
      <c r="G58" s="217"/>
      <c r="H58" s="216"/>
      <c r="I58" s="218"/>
      <c r="J58" s="217"/>
      <c r="K58" s="217"/>
      <c r="L58" s="216"/>
      <c r="M58" s="219"/>
      <c r="N58" s="220"/>
      <c r="O58" s="225"/>
      <c r="P58" s="225"/>
      <c r="Q58" s="221"/>
      <c r="R58" s="222"/>
      <c r="S58" s="89"/>
      <c r="T58" s="102"/>
    </row>
    <row r="60" spans="1:20" ht="15"/>
    <row r="62" spans="1:20" ht="43.15" customHeight="1">
      <c r="A62" s="262" t="s">
        <v>69</v>
      </c>
      <c r="B62" s="262"/>
      <c r="C62" s="262"/>
      <c r="D62" s="262"/>
      <c r="E62" s="262"/>
      <c r="F62" s="262"/>
      <c r="G62" s="262"/>
      <c r="I62" s="46"/>
    </row>
    <row r="63" spans="1:20" ht="9" customHeight="1">
      <c r="A63" s="262"/>
      <c r="B63" s="262"/>
      <c r="C63" s="262"/>
      <c r="D63" s="262"/>
      <c r="E63" s="262"/>
      <c r="F63" s="262"/>
      <c r="G63" s="262"/>
      <c r="I63" s="46"/>
    </row>
    <row r="64" spans="1:20" ht="27.6">
      <c r="A64" s="3" t="s">
        <v>70</v>
      </c>
      <c r="B64" s="3" t="s">
        <v>71</v>
      </c>
      <c r="C64" s="3" t="s">
        <v>72</v>
      </c>
      <c r="D64" s="4" t="s">
        <v>73</v>
      </c>
      <c r="E64" s="5" t="s">
        <v>74</v>
      </c>
      <c r="F64" s="4" t="s">
        <v>75</v>
      </c>
      <c r="G64" s="4" t="s">
        <v>9</v>
      </c>
      <c r="I64" s="46"/>
    </row>
    <row r="65" spans="1:11" ht="57.6">
      <c r="A65" s="4">
        <v>1</v>
      </c>
      <c r="B65" s="5" t="s">
        <v>76</v>
      </c>
      <c r="C65" s="5" t="s">
        <v>77</v>
      </c>
      <c r="D65" s="4" t="s">
        <v>78</v>
      </c>
      <c r="E65" s="6">
        <v>4216</v>
      </c>
      <c r="F65" s="7" t="s">
        <v>79</v>
      </c>
      <c r="G65" s="7" t="s">
        <v>80</v>
      </c>
      <c r="I65" s="46"/>
    </row>
    <row r="68" spans="1:11" ht="16.5" customHeight="1">
      <c r="A68" s="263" t="s">
        <v>81</v>
      </c>
      <c r="B68" s="264"/>
      <c r="C68" s="264"/>
      <c r="D68" s="264"/>
      <c r="E68" s="264"/>
      <c r="F68" s="264"/>
      <c r="G68" s="264"/>
      <c r="H68" s="264"/>
      <c r="I68" s="264"/>
      <c r="J68" s="264"/>
      <c r="K68" s="265"/>
    </row>
    <row r="69" spans="1:11" ht="17.25" customHeight="1">
      <c r="A69" s="266"/>
      <c r="B69" s="267"/>
      <c r="C69" s="267"/>
      <c r="D69" s="267"/>
      <c r="E69" s="267"/>
      <c r="F69" s="267"/>
      <c r="G69" s="267"/>
      <c r="H69" s="267"/>
      <c r="I69" s="267"/>
      <c r="J69" s="267"/>
      <c r="K69" s="268"/>
    </row>
    <row r="70" spans="1:11" ht="34.15">
      <c r="A70" s="44" t="s">
        <v>5</v>
      </c>
      <c r="B70" s="44"/>
      <c r="C70" s="44" t="s">
        <v>82</v>
      </c>
      <c r="D70" s="45" t="s">
        <v>6</v>
      </c>
      <c r="E70" s="45"/>
      <c r="F70" s="45"/>
      <c r="G70" s="45"/>
      <c r="H70" s="45" t="s">
        <v>7</v>
      </c>
      <c r="I70" s="45"/>
      <c r="J70" s="48"/>
      <c r="K70" s="48"/>
    </row>
    <row r="71" spans="1:11" ht="22.9">
      <c r="A71" s="49"/>
      <c r="B71" s="49"/>
      <c r="C71" s="49"/>
      <c r="D71" s="45" t="s">
        <v>10</v>
      </c>
      <c r="E71" s="45" t="s">
        <v>83</v>
      </c>
      <c r="F71" s="47" t="s">
        <v>11</v>
      </c>
      <c r="G71" s="47" t="s">
        <v>12</v>
      </c>
      <c r="H71" s="45" t="s">
        <v>10</v>
      </c>
      <c r="I71" s="45" t="s">
        <v>83</v>
      </c>
      <c r="J71" s="47" t="s">
        <v>11</v>
      </c>
      <c r="K71" s="47" t="s">
        <v>12</v>
      </c>
    </row>
    <row r="72" spans="1:11">
      <c r="A72" s="269" t="s">
        <v>84</v>
      </c>
      <c r="B72" s="51" t="s">
        <v>85</v>
      </c>
      <c r="C72" s="51">
        <f>196.5/10</f>
        <v>19.649999999999999</v>
      </c>
      <c r="D72" s="52">
        <v>3873</v>
      </c>
      <c r="E72" s="52">
        <f>+C72*D72</f>
        <v>76104.45</v>
      </c>
      <c r="F72" s="52">
        <f>+ROUND(E72*0.1,0)</f>
        <v>7610</v>
      </c>
      <c r="G72" s="52">
        <f>+E72+F72</f>
        <v>83714.45</v>
      </c>
      <c r="H72" s="52">
        <v>4059</v>
      </c>
      <c r="I72" s="52">
        <f>+C72*H72</f>
        <v>79759.349999999991</v>
      </c>
      <c r="J72" s="52">
        <f>+ROUND(I72*0.1,0)</f>
        <v>7976</v>
      </c>
      <c r="K72" s="52">
        <f>+I72+J72</f>
        <v>87735.349999999991</v>
      </c>
    </row>
    <row r="73" spans="1:11">
      <c r="A73" s="269"/>
      <c r="B73" s="51" t="s">
        <v>86</v>
      </c>
      <c r="C73" s="51">
        <f>2/10</f>
        <v>0.2</v>
      </c>
      <c r="D73" s="52">
        <v>31045</v>
      </c>
      <c r="E73" s="52">
        <f t="shared" ref="E73:E74" si="10">+C73*D73</f>
        <v>6209</v>
      </c>
      <c r="F73" s="52"/>
      <c r="G73" s="52">
        <f t="shared" ref="G73:G74" si="11">+E73+F73</f>
        <v>6209</v>
      </c>
      <c r="H73" s="52">
        <v>32334</v>
      </c>
      <c r="I73" s="52">
        <f t="shared" ref="I73:I74" si="12">+C73*H73</f>
        <v>6466.8</v>
      </c>
      <c r="J73" s="52"/>
      <c r="K73" s="52">
        <f t="shared" ref="K73:K74" si="13">+I73+J73</f>
        <v>6466.8</v>
      </c>
    </row>
    <row r="74" spans="1:11">
      <c r="A74" s="269"/>
      <c r="B74" s="51" t="s">
        <v>87</v>
      </c>
      <c r="C74" s="51">
        <f>18/10</f>
        <v>1.8</v>
      </c>
      <c r="D74" s="52">
        <v>3873</v>
      </c>
      <c r="E74" s="52">
        <f t="shared" si="10"/>
        <v>6971.4000000000005</v>
      </c>
      <c r="F74" s="52"/>
      <c r="G74" s="52">
        <f t="shared" si="11"/>
        <v>6971.4000000000005</v>
      </c>
      <c r="H74" s="52">
        <v>4059</v>
      </c>
      <c r="I74" s="52">
        <f t="shared" si="12"/>
        <v>7306.2</v>
      </c>
      <c r="J74" s="52"/>
      <c r="K74" s="52">
        <f t="shared" si="13"/>
        <v>7306.2</v>
      </c>
    </row>
    <row r="75" spans="1:11">
      <c r="A75" s="269"/>
      <c r="B75" s="51" t="s">
        <v>20</v>
      </c>
      <c r="C75" s="51"/>
      <c r="D75" s="52"/>
      <c r="E75" s="53">
        <f>+SUM(E72:E74)</f>
        <v>89284.849999999991</v>
      </c>
      <c r="F75" s="53">
        <f>+SUM(F72:F74)</f>
        <v>7610</v>
      </c>
      <c r="G75" s="53">
        <f>+SUM(G72:G74)</f>
        <v>96894.849999999991</v>
      </c>
      <c r="H75" s="53"/>
      <c r="I75" s="53">
        <f>+SUM(I72:I74)</f>
        <v>93532.349999999991</v>
      </c>
      <c r="J75" s="53">
        <f>+SUM(J72:J74)</f>
        <v>7976</v>
      </c>
      <c r="K75" s="53">
        <f>+SUM(K72:K74)</f>
        <v>101508.34999999999</v>
      </c>
    </row>
    <row r="76" spans="1:11">
      <c r="A76" s="269" t="s">
        <v>88</v>
      </c>
      <c r="B76" s="51" t="s">
        <v>85</v>
      </c>
      <c r="C76" s="51">
        <v>416</v>
      </c>
      <c r="D76" s="52">
        <v>3873</v>
      </c>
      <c r="E76" s="52">
        <f>+C76*D76</f>
        <v>1611168</v>
      </c>
      <c r="F76" s="52">
        <f>+ROUND(E76*0.1,0)</f>
        <v>161117</v>
      </c>
      <c r="G76" s="52">
        <f>+E76+F76</f>
        <v>1772285</v>
      </c>
      <c r="H76" s="52">
        <v>4059</v>
      </c>
      <c r="I76" s="52">
        <f>+C76*H76</f>
        <v>1688544</v>
      </c>
      <c r="J76" s="52">
        <f>+ROUND(I76*0.1,0)</f>
        <v>168854</v>
      </c>
      <c r="K76" s="52">
        <f>+I76+J76</f>
        <v>1857398</v>
      </c>
    </row>
    <row r="77" spans="1:11">
      <c r="A77" s="269"/>
      <c r="B77" s="51" t="s">
        <v>86</v>
      </c>
      <c r="C77" s="51">
        <v>10</v>
      </c>
      <c r="D77" s="52">
        <v>31045</v>
      </c>
      <c r="E77" s="52">
        <f t="shared" ref="E77:E80" si="14">+C77*D77</f>
        <v>310450</v>
      </c>
      <c r="F77" s="52"/>
      <c r="G77" s="52">
        <f t="shared" ref="G77:G80" si="15">+E77+F77</f>
        <v>310450</v>
      </c>
      <c r="H77" s="52">
        <v>32334</v>
      </c>
      <c r="I77" s="52">
        <f t="shared" ref="I77:I78" si="16">+C77*H77</f>
        <v>323340</v>
      </c>
      <c r="J77" s="52"/>
      <c r="K77" s="52">
        <f t="shared" ref="K77:K78" si="17">+I77+J77</f>
        <v>323340</v>
      </c>
    </row>
    <row r="78" spans="1:11">
      <c r="A78" s="269"/>
      <c r="B78" s="51" t="s">
        <v>87</v>
      </c>
      <c r="C78" s="51">
        <v>118.4</v>
      </c>
      <c r="D78" s="52">
        <v>3873</v>
      </c>
      <c r="E78" s="52">
        <f t="shared" si="14"/>
        <v>458563.2</v>
      </c>
      <c r="F78" s="52"/>
      <c r="G78" s="52">
        <f t="shared" si="15"/>
        <v>458563.2</v>
      </c>
      <c r="H78" s="52">
        <v>4059</v>
      </c>
      <c r="I78" s="52">
        <f t="shared" si="16"/>
        <v>480585.60000000003</v>
      </c>
      <c r="J78" s="52"/>
      <c r="K78" s="52">
        <f t="shared" si="17"/>
        <v>480585.60000000003</v>
      </c>
    </row>
    <row r="79" spans="1:11">
      <c r="A79" s="269"/>
      <c r="B79" s="51" t="s">
        <v>20</v>
      </c>
      <c r="C79" s="51"/>
      <c r="D79" s="53"/>
      <c r="E79" s="53">
        <f>+SUM(E76:E78)</f>
        <v>2380181.2000000002</v>
      </c>
      <c r="F79" s="53">
        <f>+SUM(F76:F78)</f>
        <v>161117</v>
      </c>
      <c r="G79" s="53">
        <f>+SUM(G76:G78)</f>
        <v>2541298.2000000002</v>
      </c>
      <c r="H79" s="53"/>
      <c r="I79" s="53">
        <f>+SUM(I76:I78)</f>
        <v>2492469.6</v>
      </c>
      <c r="J79" s="53">
        <f>+SUM(J76:J78)</f>
        <v>168854</v>
      </c>
      <c r="K79" s="53">
        <f>+SUM(K76:K78)</f>
        <v>2661323.6</v>
      </c>
    </row>
    <row r="80" spans="1:11" ht="55.15" customHeight="1">
      <c r="A80" s="54" t="s">
        <v>89</v>
      </c>
      <c r="B80" s="51" t="s">
        <v>20</v>
      </c>
      <c r="C80" s="51">
        <v>81.822000000000003</v>
      </c>
      <c r="D80" s="53">
        <v>3873</v>
      </c>
      <c r="E80" s="53">
        <f t="shared" si="14"/>
        <v>316896.60600000003</v>
      </c>
      <c r="F80" s="53"/>
      <c r="G80" s="53">
        <f t="shared" si="15"/>
        <v>316896.60600000003</v>
      </c>
      <c r="H80" s="53">
        <v>4059</v>
      </c>
      <c r="I80" s="53">
        <f t="shared" ref="I80" si="18">+C80*H80</f>
        <v>332115.49800000002</v>
      </c>
      <c r="J80" s="53"/>
      <c r="K80" s="53">
        <f t="shared" ref="K80" si="19">+I80+J80</f>
        <v>332115.49800000002</v>
      </c>
    </row>
    <row r="81" spans="1:12" ht="24" customHeight="1">
      <c r="A81" s="55"/>
      <c r="D81" s="56"/>
      <c r="E81" s="56"/>
      <c r="F81" s="56"/>
      <c r="G81" s="56"/>
      <c r="H81" s="56"/>
      <c r="I81" s="56"/>
      <c r="J81" s="56"/>
      <c r="K81" s="56"/>
    </row>
    <row r="82" spans="1:12" ht="30" customHeight="1"/>
    <row r="83" spans="1:12">
      <c r="A83" s="270" t="s">
        <v>90</v>
      </c>
      <c r="B83" s="271"/>
      <c r="C83" s="271"/>
      <c r="D83" s="271"/>
      <c r="E83" s="271"/>
      <c r="F83" s="271"/>
      <c r="G83" s="271"/>
      <c r="H83" s="271"/>
      <c r="I83" s="272"/>
      <c r="J83" s="8"/>
      <c r="K83" s="8"/>
      <c r="L83" s="8"/>
    </row>
    <row r="84" spans="1:12">
      <c r="A84" s="273"/>
      <c r="B84" s="274"/>
      <c r="C84" s="274"/>
      <c r="D84" s="274"/>
      <c r="E84" s="274"/>
      <c r="F84" s="274"/>
      <c r="G84" s="274"/>
      <c r="H84" s="274"/>
      <c r="I84" s="275"/>
      <c r="J84" s="8"/>
      <c r="K84" s="8"/>
      <c r="L84" s="8"/>
    </row>
    <row r="85" spans="1:12">
      <c r="A85" s="260" t="s">
        <v>70</v>
      </c>
      <c r="B85" s="260" t="s">
        <v>91</v>
      </c>
      <c r="C85" s="260" t="s">
        <v>92</v>
      </c>
      <c r="D85" s="260" t="s">
        <v>93</v>
      </c>
      <c r="E85" s="260" t="s">
        <v>94</v>
      </c>
      <c r="F85" s="260" t="s">
        <v>95</v>
      </c>
      <c r="G85" s="276" t="s">
        <v>96</v>
      </c>
      <c r="H85" s="260" t="s">
        <v>77</v>
      </c>
      <c r="I85" s="260" t="s">
        <v>97</v>
      </c>
      <c r="J85" s="8"/>
      <c r="K85" s="8"/>
      <c r="L85" s="8"/>
    </row>
    <row r="86" spans="1:12">
      <c r="A86" s="260"/>
      <c r="B86" s="260"/>
      <c r="C86" s="260"/>
      <c r="D86" s="260"/>
      <c r="E86" s="260"/>
      <c r="F86" s="260"/>
      <c r="G86" s="276"/>
      <c r="H86" s="260"/>
      <c r="I86" s="260"/>
      <c r="J86" s="8"/>
      <c r="K86" s="8"/>
      <c r="L86" s="8"/>
    </row>
    <row r="87" spans="1:12">
      <c r="A87" s="260"/>
      <c r="B87" s="260"/>
      <c r="C87" s="260"/>
      <c r="D87" s="260"/>
      <c r="E87" s="260"/>
      <c r="F87" s="260"/>
      <c r="G87" s="276"/>
      <c r="H87" s="260"/>
      <c r="I87" s="260"/>
      <c r="J87" s="8"/>
      <c r="K87" s="8"/>
      <c r="L87" s="8"/>
    </row>
    <row r="88" spans="1:12">
      <c r="A88" s="261"/>
      <c r="B88" s="261"/>
      <c r="C88" s="261"/>
      <c r="D88" s="261"/>
      <c r="E88" s="261"/>
      <c r="F88" s="261"/>
      <c r="G88" s="277"/>
      <c r="H88" s="261"/>
      <c r="I88" s="261"/>
      <c r="J88" s="8"/>
      <c r="K88" s="8"/>
      <c r="L88" s="8"/>
    </row>
    <row r="89" spans="1:12">
      <c r="A89" s="2" t="s">
        <v>98</v>
      </c>
      <c r="B89" s="345" t="s">
        <v>99</v>
      </c>
      <c r="C89" s="345"/>
      <c r="D89" s="345"/>
      <c r="E89" s="345"/>
      <c r="F89" s="345"/>
      <c r="G89" s="345"/>
      <c r="H89" s="345"/>
      <c r="I89" s="10">
        <f>SUM(I90:I91)</f>
        <v>18890.718749999996</v>
      </c>
      <c r="J89" s="11"/>
      <c r="K89" s="11"/>
      <c r="L89" s="11"/>
    </row>
    <row r="90" spans="1:12">
      <c r="A90" s="3">
        <v>1</v>
      </c>
      <c r="B90" s="12" t="s">
        <v>100</v>
      </c>
      <c r="C90" s="12">
        <v>525</v>
      </c>
      <c r="D90" s="13">
        <v>8.9999999999999993E-3</v>
      </c>
      <c r="E90" s="14">
        <v>0.85</v>
      </c>
      <c r="F90" s="15">
        <v>1</v>
      </c>
      <c r="G90" s="16">
        <f t="shared" ref="G90:G100" si="20">C90*D90*E90*F90</f>
        <v>4.0162499999999994</v>
      </c>
      <c r="H90" s="17">
        <v>3951</v>
      </c>
      <c r="I90" s="17">
        <f t="shared" ref="I90:I91" si="21">G90*H90</f>
        <v>15868.203749999997</v>
      </c>
      <c r="J90" s="18"/>
      <c r="K90" s="18"/>
      <c r="L90" s="18"/>
    </row>
    <row r="91" spans="1:12">
      <c r="A91" s="3">
        <v>2</v>
      </c>
      <c r="B91" s="12" t="s">
        <v>101</v>
      </c>
      <c r="C91" s="12">
        <v>60</v>
      </c>
      <c r="D91" s="13">
        <v>1.4999999999999999E-2</v>
      </c>
      <c r="E91" s="14">
        <v>0.85</v>
      </c>
      <c r="F91" s="15">
        <v>1</v>
      </c>
      <c r="G91" s="16">
        <f t="shared" si="20"/>
        <v>0.7649999999999999</v>
      </c>
      <c r="H91" s="17">
        <v>3951</v>
      </c>
      <c r="I91" s="17">
        <f t="shared" si="21"/>
        <v>3022.5149999999994</v>
      </c>
      <c r="J91" s="18"/>
      <c r="K91" s="18"/>
      <c r="L91" s="18"/>
    </row>
    <row r="92" spans="1:12">
      <c r="A92" s="2" t="s">
        <v>102</v>
      </c>
      <c r="B92" s="345" t="s">
        <v>103</v>
      </c>
      <c r="C92" s="345"/>
      <c r="D92" s="345"/>
      <c r="E92" s="345"/>
      <c r="F92" s="345"/>
      <c r="G92" s="345"/>
      <c r="H92" s="345"/>
      <c r="I92" s="10">
        <f>SUM(I93:I94)</f>
        <v>198142.65</v>
      </c>
      <c r="J92" s="11"/>
      <c r="K92" s="11"/>
      <c r="L92" s="11"/>
    </row>
    <row r="93" spans="1:12">
      <c r="A93" s="3">
        <v>1</v>
      </c>
      <c r="B93" s="12" t="s">
        <v>104</v>
      </c>
      <c r="C93" s="12">
        <v>2</v>
      </c>
      <c r="D93" s="13">
        <v>18.5</v>
      </c>
      <c r="E93" s="14">
        <v>0.85</v>
      </c>
      <c r="F93" s="15">
        <v>1</v>
      </c>
      <c r="G93" s="16">
        <f t="shared" si="20"/>
        <v>31.45</v>
      </c>
      <c r="H93" s="17">
        <v>3951</v>
      </c>
      <c r="I93" s="17">
        <f t="shared" ref="I93:I100" si="22">G93*H93</f>
        <v>124258.95</v>
      </c>
      <c r="J93" s="18"/>
      <c r="K93" s="18"/>
      <c r="L93" s="18"/>
    </row>
    <row r="94" spans="1:12">
      <c r="A94" s="3">
        <v>2</v>
      </c>
      <c r="B94" s="12" t="s">
        <v>105</v>
      </c>
      <c r="C94" s="12">
        <v>2</v>
      </c>
      <c r="D94" s="13">
        <v>11</v>
      </c>
      <c r="E94" s="14">
        <v>0.85</v>
      </c>
      <c r="F94" s="15">
        <v>1</v>
      </c>
      <c r="G94" s="16">
        <f t="shared" si="20"/>
        <v>18.7</v>
      </c>
      <c r="H94" s="17">
        <v>3951</v>
      </c>
      <c r="I94" s="17">
        <f t="shared" si="22"/>
        <v>73883.7</v>
      </c>
      <c r="J94" s="18"/>
      <c r="K94" s="18"/>
      <c r="L94" s="18"/>
    </row>
    <row r="95" spans="1:12">
      <c r="A95" s="2" t="s">
        <v>106</v>
      </c>
      <c r="B95" s="19" t="s">
        <v>107</v>
      </c>
      <c r="C95" s="19"/>
      <c r="D95" s="9"/>
      <c r="E95" s="20"/>
      <c r="F95" s="21"/>
      <c r="G95" s="22"/>
      <c r="H95" s="10"/>
      <c r="I95" s="10">
        <f>I96</f>
        <v>136013.17499999999</v>
      </c>
      <c r="J95" s="18"/>
      <c r="K95" s="18"/>
      <c r="L95" s="18"/>
    </row>
    <row r="96" spans="1:12">
      <c r="A96" s="3">
        <v>1</v>
      </c>
      <c r="B96" s="23" t="s">
        <v>108</v>
      </c>
      <c r="C96" s="23">
        <v>1</v>
      </c>
      <c r="D96" s="13">
        <v>40.5</v>
      </c>
      <c r="E96" s="14">
        <v>0.85</v>
      </c>
      <c r="F96" s="15">
        <v>1</v>
      </c>
      <c r="G96" s="16">
        <f t="shared" si="20"/>
        <v>34.424999999999997</v>
      </c>
      <c r="H96" s="17">
        <v>3951</v>
      </c>
      <c r="I96" s="17">
        <f t="shared" si="22"/>
        <v>136013.17499999999</v>
      </c>
      <c r="J96" s="18"/>
      <c r="K96" s="18"/>
      <c r="L96" s="18"/>
    </row>
    <row r="97" spans="1:12">
      <c r="A97" s="2" t="s">
        <v>109</v>
      </c>
      <c r="B97" s="345" t="s">
        <v>110</v>
      </c>
      <c r="C97" s="345"/>
      <c r="D97" s="345"/>
      <c r="E97" s="345"/>
      <c r="F97" s="345"/>
      <c r="G97" s="345"/>
      <c r="H97" s="345"/>
      <c r="I97" s="10">
        <f>SUM(I98:I100)</f>
        <v>61675.11</v>
      </c>
      <c r="J97" s="11"/>
      <c r="K97" s="11"/>
      <c r="L97" s="11"/>
    </row>
    <row r="98" spans="1:12">
      <c r="A98" s="3">
        <v>1</v>
      </c>
      <c r="B98" s="12" t="s">
        <v>111</v>
      </c>
      <c r="C98" s="12">
        <v>2</v>
      </c>
      <c r="D98" s="13">
        <v>7.5</v>
      </c>
      <c r="E98" s="14">
        <v>0.35</v>
      </c>
      <c r="F98" s="15">
        <v>1</v>
      </c>
      <c r="G98" s="16">
        <f t="shared" si="20"/>
        <v>5.25</v>
      </c>
      <c r="H98" s="17">
        <v>3951</v>
      </c>
      <c r="I98" s="17">
        <f t="shared" si="22"/>
        <v>20742.75</v>
      </c>
      <c r="J98" s="18"/>
      <c r="K98" s="18"/>
      <c r="L98" s="18"/>
    </row>
    <row r="99" spans="1:12">
      <c r="A99" s="3">
        <v>2</v>
      </c>
      <c r="B99" s="12" t="s">
        <v>112</v>
      </c>
      <c r="C99" s="12">
        <v>1</v>
      </c>
      <c r="D99" s="13">
        <v>13.4</v>
      </c>
      <c r="E99" s="14">
        <v>0</v>
      </c>
      <c r="F99" s="15">
        <v>1</v>
      </c>
      <c r="G99" s="16">
        <f t="shared" si="20"/>
        <v>0</v>
      </c>
      <c r="H99" s="17">
        <v>3951</v>
      </c>
      <c r="I99" s="17">
        <f t="shared" si="22"/>
        <v>0</v>
      </c>
      <c r="J99" s="18"/>
      <c r="K99" s="18"/>
      <c r="L99" s="18"/>
    </row>
    <row r="100" spans="1:12">
      <c r="A100" s="3">
        <v>3</v>
      </c>
      <c r="B100" s="12" t="s">
        <v>110</v>
      </c>
      <c r="C100" s="12">
        <v>2</v>
      </c>
      <c r="D100" s="13">
        <v>14.8</v>
      </c>
      <c r="E100" s="14">
        <v>0.35</v>
      </c>
      <c r="F100" s="15">
        <v>1</v>
      </c>
      <c r="G100" s="16">
        <f t="shared" si="20"/>
        <v>10.36</v>
      </c>
      <c r="H100" s="17">
        <v>3951</v>
      </c>
      <c r="I100" s="17">
        <f t="shared" si="22"/>
        <v>40932.36</v>
      </c>
      <c r="J100" s="18"/>
      <c r="K100" s="18"/>
      <c r="L100" s="18"/>
    </row>
    <row r="101" spans="1:12">
      <c r="A101" s="24" t="s">
        <v>113</v>
      </c>
      <c r="B101" s="25" t="s">
        <v>114</v>
      </c>
      <c r="C101" s="26"/>
      <c r="D101" s="26"/>
      <c r="E101" s="26"/>
      <c r="F101" s="26"/>
      <c r="G101" s="27"/>
      <c r="H101" s="26"/>
      <c r="I101" s="28">
        <f>SUM(I102:I119)</f>
        <v>1603974.8267999997</v>
      </c>
      <c r="J101" s="8"/>
      <c r="K101" s="8"/>
      <c r="L101" s="8"/>
    </row>
    <row r="102" spans="1:12">
      <c r="A102" s="3">
        <v>1</v>
      </c>
      <c r="B102" s="29" t="s">
        <v>115</v>
      </c>
      <c r="C102" s="29">
        <v>1</v>
      </c>
      <c r="D102" s="14">
        <v>211</v>
      </c>
      <c r="E102" s="14">
        <v>0.85</v>
      </c>
      <c r="F102" s="14">
        <v>1.2</v>
      </c>
      <c r="G102" s="30">
        <f>C102*D102*E102*F102</f>
        <v>215.22</v>
      </c>
      <c r="H102" s="17">
        <v>3951</v>
      </c>
      <c r="I102" s="17">
        <f>G102*H102</f>
        <v>850334.22</v>
      </c>
      <c r="J102" s="8"/>
      <c r="K102" s="8"/>
      <c r="L102" s="8"/>
    </row>
    <row r="103" spans="1:12">
      <c r="A103" s="3">
        <v>2</v>
      </c>
      <c r="B103" s="29" t="s">
        <v>116</v>
      </c>
      <c r="C103" s="29">
        <v>1</v>
      </c>
      <c r="D103" s="14">
        <v>37</v>
      </c>
      <c r="E103" s="14">
        <v>0.85</v>
      </c>
      <c r="F103" s="14">
        <v>1</v>
      </c>
      <c r="G103" s="30">
        <f t="shared" ref="G103:G119" si="23">C103*D103*E103*F103</f>
        <v>31.45</v>
      </c>
      <c r="H103" s="17">
        <v>3951</v>
      </c>
      <c r="I103" s="17">
        <f>G103*H103</f>
        <v>124258.95</v>
      </c>
      <c r="J103" s="8"/>
      <c r="K103" s="8"/>
      <c r="L103" s="8"/>
    </row>
    <row r="104" spans="1:12">
      <c r="A104" s="3">
        <v>3</v>
      </c>
      <c r="B104" s="29" t="s">
        <v>117</v>
      </c>
      <c r="C104" s="29">
        <v>1</v>
      </c>
      <c r="D104" s="14">
        <v>30</v>
      </c>
      <c r="E104" s="14">
        <v>0.85</v>
      </c>
      <c r="F104" s="14">
        <v>1</v>
      </c>
      <c r="G104" s="30">
        <f t="shared" si="23"/>
        <v>25.5</v>
      </c>
      <c r="H104" s="17">
        <v>3951</v>
      </c>
      <c r="I104" s="17">
        <f t="shared" ref="I104:I119" si="24">G104*H104</f>
        <v>100750.5</v>
      </c>
      <c r="J104" s="8"/>
      <c r="K104" s="8"/>
      <c r="L104" s="8"/>
    </row>
    <row r="105" spans="1:12">
      <c r="A105" s="3">
        <v>4</v>
      </c>
      <c r="B105" s="29" t="s">
        <v>118</v>
      </c>
      <c r="C105" s="29">
        <v>1</v>
      </c>
      <c r="D105" s="14">
        <v>30</v>
      </c>
      <c r="E105" s="14">
        <v>0.85</v>
      </c>
      <c r="F105" s="14">
        <v>1</v>
      </c>
      <c r="G105" s="30">
        <f t="shared" si="23"/>
        <v>25.5</v>
      </c>
      <c r="H105" s="17">
        <v>3951</v>
      </c>
      <c r="I105" s="17">
        <f t="shared" si="24"/>
        <v>100750.5</v>
      </c>
      <c r="J105" s="8"/>
      <c r="K105" s="8"/>
      <c r="L105" s="8"/>
    </row>
    <row r="106" spans="1:12">
      <c r="A106" s="3">
        <v>5</v>
      </c>
      <c r="B106" s="29" t="s">
        <v>119</v>
      </c>
      <c r="C106" s="29">
        <v>1</v>
      </c>
      <c r="D106" s="14">
        <v>55</v>
      </c>
      <c r="E106" s="14">
        <v>0.85</v>
      </c>
      <c r="F106" s="14">
        <v>1</v>
      </c>
      <c r="G106" s="30">
        <f t="shared" si="23"/>
        <v>46.75</v>
      </c>
      <c r="H106" s="17">
        <v>3951</v>
      </c>
      <c r="I106" s="17">
        <f t="shared" si="24"/>
        <v>184709.25</v>
      </c>
      <c r="J106" s="8"/>
      <c r="K106" s="8"/>
      <c r="L106" s="8"/>
    </row>
    <row r="107" spans="1:12">
      <c r="A107" s="3">
        <v>6</v>
      </c>
      <c r="B107" s="29" t="s">
        <v>120</v>
      </c>
      <c r="C107" s="29">
        <v>3</v>
      </c>
      <c r="D107" s="14">
        <v>15</v>
      </c>
      <c r="E107" s="14">
        <v>0.85</v>
      </c>
      <c r="F107" s="14">
        <v>1</v>
      </c>
      <c r="G107" s="30">
        <f t="shared" si="23"/>
        <v>38.25</v>
      </c>
      <c r="H107" s="17">
        <v>3951</v>
      </c>
      <c r="I107" s="17">
        <f t="shared" si="24"/>
        <v>151125.75</v>
      </c>
      <c r="J107" s="8"/>
      <c r="K107" s="8"/>
      <c r="L107" s="8"/>
    </row>
    <row r="108" spans="1:12">
      <c r="A108" s="3">
        <v>7</v>
      </c>
      <c r="B108" s="29" t="s">
        <v>121</v>
      </c>
      <c r="C108" s="29">
        <v>1</v>
      </c>
      <c r="D108" s="14">
        <v>2.2000000000000002</v>
      </c>
      <c r="E108" s="14">
        <v>0.85</v>
      </c>
      <c r="F108" s="14">
        <v>1</v>
      </c>
      <c r="G108" s="30">
        <f t="shared" si="23"/>
        <v>1.87</v>
      </c>
      <c r="H108" s="17">
        <v>3951</v>
      </c>
      <c r="I108" s="17">
        <f t="shared" si="24"/>
        <v>7388.3700000000008</v>
      </c>
      <c r="J108" s="8"/>
      <c r="K108" s="8"/>
      <c r="L108" s="8"/>
    </row>
    <row r="109" spans="1:12">
      <c r="A109" s="3">
        <v>8</v>
      </c>
      <c r="B109" s="12" t="s">
        <v>122</v>
      </c>
      <c r="C109" s="12">
        <v>6</v>
      </c>
      <c r="D109" s="13">
        <v>0.10299999999999999</v>
      </c>
      <c r="E109" s="14">
        <v>0.85</v>
      </c>
      <c r="F109" s="14">
        <v>1</v>
      </c>
      <c r="G109" s="31">
        <f>C109*D109*E109*F109</f>
        <v>0.52529999999999999</v>
      </c>
      <c r="H109" s="17">
        <v>3951</v>
      </c>
      <c r="I109" s="17">
        <f t="shared" si="24"/>
        <v>2075.4602999999997</v>
      </c>
      <c r="J109" s="8"/>
      <c r="K109" s="8"/>
      <c r="L109" s="8"/>
    </row>
    <row r="110" spans="1:12">
      <c r="A110" s="3">
        <v>9</v>
      </c>
      <c r="B110" s="12" t="s">
        <v>123</v>
      </c>
      <c r="C110" s="12">
        <v>1</v>
      </c>
      <c r="D110" s="13">
        <v>0.76900000000000002</v>
      </c>
      <c r="E110" s="14">
        <v>0.85</v>
      </c>
      <c r="F110" s="14">
        <v>1</v>
      </c>
      <c r="G110" s="31">
        <f t="shared" si="23"/>
        <v>0.65364999999999995</v>
      </c>
      <c r="H110" s="17">
        <v>3951</v>
      </c>
      <c r="I110" s="17">
        <f t="shared" si="24"/>
        <v>2582.5711499999998</v>
      </c>
      <c r="J110" s="8"/>
      <c r="K110" s="8"/>
      <c r="L110" s="8"/>
    </row>
    <row r="111" spans="1:12">
      <c r="A111" s="3">
        <v>10</v>
      </c>
      <c r="B111" s="12" t="s">
        <v>124</v>
      </c>
      <c r="C111" s="12">
        <v>2</v>
      </c>
      <c r="D111" s="13">
        <v>0.122</v>
      </c>
      <c r="E111" s="14">
        <v>0.85</v>
      </c>
      <c r="F111" s="14">
        <v>1</v>
      </c>
      <c r="G111" s="31">
        <f t="shared" si="23"/>
        <v>0.2074</v>
      </c>
      <c r="H111" s="17">
        <v>3951</v>
      </c>
      <c r="I111" s="17">
        <f t="shared" si="24"/>
        <v>819.43740000000003</v>
      </c>
      <c r="J111" s="8"/>
      <c r="K111" s="8"/>
      <c r="L111" s="8"/>
    </row>
    <row r="112" spans="1:12">
      <c r="A112" s="3">
        <v>11</v>
      </c>
      <c r="B112" s="12" t="s">
        <v>125</v>
      </c>
      <c r="C112" s="12">
        <v>5</v>
      </c>
      <c r="D112" s="13">
        <v>0.28000000000000003</v>
      </c>
      <c r="E112" s="14">
        <v>0.85</v>
      </c>
      <c r="F112" s="14">
        <v>1</v>
      </c>
      <c r="G112" s="31">
        <f t="shared" si="23"/>
        <v>1.1900000000000002</v>
      </c>
      <c r="H112" s="17">
        <v>3951</v>
      </c>
      <c r="I112" s="17">
        <f t="shared" si="24"/>
        <v>4701.6900000000005</v>
      </c>
      <c r="J112" s="8"/>
      <c r="K112" s="8"/>
      <c r="L112" s="8"/>
    </row>
    <row r="113" spans="1:12">
      <c r="A113" s="3">
        <v>12</v>
      </c>
      <c r="B113" s="12" t="s">
        <v>126</v>
      </c>
      <c r="C113" s="12">
        <v>4</v>
      </c>
      <c r="D113" s="13">
        <v>0.28000000000000003</v>
      </c>
      <c r="E113" s="14">
        <v>0.85</v>
      </c>
      <c r="F113" s="14">
        <v>1</v>
      </c>
      <c r="G113" s="31">
        <f t="shared" si="23"/>
        <v>0.95200000000000007</v>
      </c>
      <c r="H113" s="17">
        <v>3951</v>
      </c>
      <c r="I113" s="17">
        <f t="shared" si="24"/>
        <v>3761.3520000000003</v>
      </c>
      <c r="J113" s="8"/>
      <c r="K113" s="8"/>
      <c r="L113" s="8"/>
    </row>
    <row r="114" spans="1:12">
      <c r="A114" s="3">
        <v>13</v>
      </c>
      <c r="B114" s="12" t="s">
        <v>127</v>
      </c>
      <c r="C114" s="12">
        <v>2</v>
      </c>
      <c r="D114" s="13">
        <v>0.76900000000000002</v>
      </c>
      <c r="E114" s="14">
        <v>0.85</v>
      </c>
      <c r="F114" s="14">
        <v>1</v>
      </c>
      <c r="G114" s="31">
        <f t="shared" si="23"/>
        <v>1.3072999999999999</v>
      </c>
      <c r="H114" s="17">
        <v>3951</v>
      </c>
      <c r="I114" s="17">
        <f t="shared" si="24"/>
        <v>5165.1422999999995</v>
      </c>
      <c r="J114" s="8"/>
      <c r="K114" s="8"/>
      <c r="L114" s="8"/>
    </row>
    <row r="115" spans="1:12">
      <c r="A115" s="3">
        <v>14</v>
      </c>
      <c r="B115" s="12" t="s">
        <v>128</v>
      </c>
      <c r="C115" s="12">
        <v>1</v>
      </c>
      <c r="D115" s="13">
        <v>0.53100000000000003</v>
      </c>
      <c r="E115" s="14">
        <v>0.85</v>
      </c>
      <c r="F115" s="14">
        <v>1</v>
      </c>
      <c r="G115" s="31">
        <f t="shared" si="23"/>
        <v>0.45135000000000003</v>
      </c>
      <c r="H115" s="17">
        <v>3951</v>
      </c>
      <c r="I115" s="17">
        <f t="shared" si="24"/>
        <v>1783.28385</v>
      </c>
      <c r="J115" s="8"/>
      <c r="K115" s="8"/>
      <c r="L115" s="8"/>
    </row>
    <row r="116" spans="1:12">
      <c r="A116" s="3">
        <v>15</v>
      </c>
      <c r="B116" s="12" t="s">
        <v>129</v>
      </c>
      <c r="C116" s="12">
        <v>6</v>
      </c>
      <c r="D116" s="13">
        <v>0.28000000000000003</v>
      </c>
      <c r="E116" s="14">
        <v>0.85</v>
      </c>
      <c r="F116" s="14">
        <v>1</v>
      </c>
      <c r="G116" s="31">
        <f t="shared" si="23"/>
        <v>1.4280000000000002</v>
      </c>
      <c r="H116" s="17">
        <v>3951</v>
      </c>
      <c r="I116" s="17">
        <f t="shared" si="24"/>
        <v>5642.0280000000002</v>
      </c>
      <c r="J116" s="8"/>
      <c r="K116" s="8"/>
      <c r="L116" s="8"/>
    </row>
    <row r="117" spans="1:12">
      <c r="A117" s="3">
        <v>16</v>
      </c>
      <c r="B117" s="12" t="s">
        <v>130</v>
      </c>
      <c r="C117" s="12">
        <v>6</v>
      </c>
      <c r="D117" s="13">
        <v>0.53100000000000003</v>
      </c>
      <c r="E117" s="14">
        <v>0.85</v>
      </c>
      <c r="F117" s="14">
        <v>1</v>
      </c>
      <c r="G117" s="31">
        <f t="shared" si="23"/>
        <v>2.7081</v>
      </c>
      <c r="H117" s="17">
        <v>3951</v>
      </c>
      <c r="I117" s="17">
        <f t="shared" si="24"/>
        <v>10699.703100000001</v>
      </c>
      <c r="J117" s="8"/>
      <c r="K117" s="8"/>
      <c r="L117" s="8"/>
    </row>
    <row r="118" spans="1:12">
      <c r="A118" s="3">
        <v>17</v>
      </c>
      <c r="B118" s="12" t="s">
        <v>131</v>
      </c>
      <c r="C118" s="12">
        <v>18</v>
      </c>
      <c r="D118" s="13">
        <v>0.76900000000000002</v>
      </c>
      <c r="E118" s="14">
        <v>0.85</v>
      </c>
      <c r="F118" s="14">
        <v>1</v>
      </c>
      <c r="G118" s="31">
        <f t="shared" si="23"/>
        <v>11.765700000000001</v>
      </c>
      <c r="H118" s="17">
        <v>3951</v>
      </c>
      <c r="I118" s="17">
        <f t="shared" si="24"/>
        <v>46486.280700000003</v>
      </c>
      <c r="J118" s="18"/>
      <c r="K118" s="18"/>
      <c r="L118" s="18"/>
    </row>
    <row r="119" spans="1:12">
      <c r="A119" s="3">
        <v>18</v>
      </c>
      <c r="B119" s="12" t="s">
        <v>132</v>
      </c>
      <c r="C119" s="32">
        <v>1</v>
      </c>
      <c r="D119" s="13">
        <v>0.28000000000000003</v>
      </c>
      <c r="E119" s="14">
        <v>0.85</v>
      </c>
      <c r="F119" s="14">
        <v>1</v>
      </c>
      <c r="G119" s="31">
        <f t="shared" si="23"/>
        <v>0.23800000000000002</v>
      </c>
      <c r="H119" s="17">
        <v>3951</v>
      </c>
      <c r="I119" s="17">
        <f t="shared" si="24"/>
        <v>940.33800000000008</v>
      </c>
      <c r="J119" s="18"/>
      <c r="K119" s="18"/>
      <c r="L119" s="18"/>
    </row>
    <row r="120" spans="1:12" ht="55.15">
      <c r="A120" s="33"/>
      <c r="B120" s="20" t="s">
        <v>133</v>
      </c>
      <c r="C120" s="20" t="s">
        <v>134</v>
      </c>
      <c r="D120" s="20" t="s">
        <v>135</v>
      </c>
      <c r="E120" s="20" t="s">
        <v>136</v>
      </c>
      <c r="F120" s="20" t="s">
        <v>95</v>
      </c>
      <c r="G120" s="10" t="s">
        <v>137</v>
      </c>
      <c r="H120" s="20" t="s">
        <v>77</v>
      </c>
      <c r="I120" s="20" t="s">
        <v>97</v>
      </c>
      <c r="J120" s="34"/>
      <c r="K120" s="34"/>
      <c r="L120" s="34"/>
    </row>
    <row r="121" spans="1:12" ht="41.45">
      <c r="A121" s="1">
        <v>1</v>
      </c>
      <c r="B121" s="35" t="s">
        <v>138</v>
      </c>
      <c r="C121" s="32">
        <v>1</v>
      </c>
      <c r="D121" s="32">
        <v>388</v>
      </c>
      <c r="E121" s="32">
        <v>1</v>
      </c>
      <c r="F121" s="32">
        <v>1</v>
      </c>
      <c r="G121" s="36">
        <f>D121*F121*E121*C121*1%</f>
        <v>3.88</v>
      </c>
      <c r="H121" s="37">
        <v>31900</v>
      </c>
      <c r="I121" s="37">
        <f>G121*H121</f>
        <v>123772</v>
      </c>
      <c r="J121" s="38"/>
      <c r="K121" s="8"/>
      <c r="L121" s="8"/>
    </row>
    <row r="122" spans="1:12" ht="27.6">
      <c r="A122" s="2" t="s">
        <v>139</v>
      </c>
      <c r="B122" s="20" t="s">
        <v>140</v>
      </c>
      <c r="C122" s="33"/>
      <c r="D122" s="20"/>
      <c r="E122" s="33"/>
      <c r="F122" s="20"/>
      <c r="G122" s="33"/>
      <c r="H122" s="20"/>
      <c r="I122" s="39">
        <f>I121</f>
        <v>123772</v>
      </c>
      <c r="J122" s="8"/>
      <c r="K122" s="8"/>
      <c r="L122" s="8"/>
    </row>
    <row r="123" spans="1:12">
      <c r="A123" s="281" t="s">
        <v>141</v>
      </c>
      <c r="B123" s="282"/>
      <c r="C123" s="282"/>
      <c r="D123" s="282"/>
      <c r="E123" s="282"/>
      <c r="F123" s="282"/>
      <c r="G123" s="282"/>
      <c r="H123" s="283"/>
      <c r="I123" s="40">
        <f>I122+I101+I97+I95+I92+I89</f>
        <v>2142468.48055</v>
      </c>
      <c r="J123" s="34"/>
      <c r="K123" s="34"/>
      <c r="L123" s="34"/>
    </row>
    <row r="124" spans="1:12">
      <c r="A124" s="281" t="s">
        <v>142</v>
      </c>
      <c r="B124" s="282"/>
      <c r="C124" s="282"/>
      <c r="D124" s="282"/>
      <c r="E124" s="282"/>
      <c r="F124" s="282"/>
      <c r="G124" s="282"/>
      <c r="H124" s="283"/>
      <c r="I124" s="40">
        <f>I123*17%</f>
        <v>364219.64169350005</v>
      </c>
      <c r="J124" s="41">
        <v>0.17</v>
      </c>
      <c r="K124" s="34"/>
      <c r="L124" s="34"/>
    </row>
    <row r="125" spans="1:12">
      <c r="A125" s="281" t="s">
        <v>143</v>
      </c>
      <c r="B125" s="282"/>
      <c r="C125" s="282"/>
      <c r="D125" s="282"/>
      <c r="E125" s="282"/>
      <c r="F125" s="282"/>
      <c r="G125" s="282"/>
      <c r="H125" s="283"/>
      <c r="I125" s="40">
        <f>I124+I123</f>
        <v>2506688.1222434998</v>
      </c>
      <c r="J125" s="278" t="s">
        <v>144</v>
      </c>
      <c r="K125" s="42" t="str">
        <f>K126</f>
        <v>=</v>
      </c>
      <c r="L125" s="43">
        <v>2500000</v>
      </c>
    </row>
    <row r="126" spans="1:12">
      <c r="A126" s="280" t="s">
        <v>145</v>
      </c>
      <c r="B126" s="280"/>
      <c r="C126" s="280"/>
      <c r="D126" s="280"/>
      <c r="E126" s="280"/>
      <c r="F126" s="280"/>
      <c r="G126" s="280"/>
      <c r="H126" s="280"/>
      <c r="I126" s="40">
        <f>(I123-I122-I101)*117%</f>
        <v>485224.33488750033</v>
      </c>
      <c r="J126" s="279"/>
      <c r="K126" s="42" t="s">
        <v>146</v>
      </c>
      <c r="L126" s="43">
        <v>500000</v>
      </c>
    </row>
    <row r="127" spans="1:12">
      <c r="A127" s="281" t="s">
        <v>147</v>
      </c>
      <c r="B127" s="282"/>
      <c r="C127" s="282"/>
      <c r="D127" s="282"/>
      <c r="E127" s="282"/>
      <c r="F127" s="282"/>
      <c r="G127" s="282"/>
      <c r="H127" s="283"/>
      <c r="I127" s="40">
        <v>22102</v>
      </c>
      <c r="J127" s="279"/>
      <c r="K127" s="42" t="s">
        <v>146</v>
      </c>
      <c r="L127" s="43">
        <v>22000</v>
      </c>
    </row>
    <row r="128" spans="1:12">
      <c r="A128" s="281" t="s">
        <v>148</v>
      </c>
      <c r="B128" s="282"/>
      <c r="C128" s="282"/>
      <c r="D128" s="282"/>
      <c r="E128" s="282"/>
      <c r="F128" s="282"/>
      <c r="G128" s="282"/>
      <c r="H128" s="283"/>
      <c r="I128" s="40">
        <v>231827</v>
      </c>
      <c r="J128" s="279"/>
      <c r="K128" s="42" t="s">
        <v>146</v>
      </c>
      <c r="L128" s="43">
        <v>230000</v>
      </c>
    </row>
    <row r="129" spans="1:12">
      <c r="A129" s="281" t="s">
        <v>149</v>
      </c>
      <c r="B129" s="282"/>
      <c r="C129" s="282"/>
      <c r="D129" s="282"/>
      <c r="E129" s="282"/>
      <c r="F129" s="282"/>
      <c r="G129" s="282"/>
      <c r="H129" s="283"/>
      <c r="I129" s="40">
        <v>159135</v>
      </c>
      <c r="J129" s="279"/>
      <c r="K129" s="42" t="s">
        <v>146</v>
      </c>
      <c r="L129" s="43">
        <v>160000</v>
      </c>
    </row>
    <row r="130" spans="1:12">
      <c r="A130" s="281" t="s">
        <v>150</v>
      </c>
      <c r="B130" s="282"/>
      <c r="C130" s="282"/>
      <c r="D130" s="282"/>
      <c r="E130" s="282"/>
      <c r="F130" s="282"/>
      <c r="G130" s="282"/>
      <c r="H130" s="283"/>
      <c r="I130" s="40">
        <v>72160</v>
      </c>
      <c r="J130" s="279"/>
      <c r="K130" s="42" t="s">
        <v>146</v>
      </c>
      <c r="L130" s="43">
        <v>75000</v>
      </c>
    </row>
    <row r="133" spans="1:12" ht="15.6" customHeight="1">
      <c r="A133" s="300" t="s">
        <v>151</v>
      </c>
      <c r="B133" s="301"/>
      <c r="C133" s="301"/>
      <c r="D133" s="301"/>
      <c r="E133" s="301"/>
      <c r="F133" s="301"/>
      <c r="G133" s="301"/>
      <c r="H133" s="301"/>
      <c r="I133" s="302"/>
      <c r="J133" s="58"/>
      <c r="K133" s="58"/>
      <c r="L133" s="58"/>
    </row>
    <row r="134" spans="1:12">
      <c r="A134" s="303"/>
      <c r="B134" s="304"/>
      <c r="C134" s="304"/>
      <c r="D134" s="304"/>
      <c r="E134" s="304"/>
      <c r="F134" s="304"/>
      <c r="G134" s="304"/>
      <c r="H134" s="304"/>
      <c r="I134" s="305"/>
    </row>
    <row r="135" spans="1:12">
      <c r="A135" s="296" t="s">
        <v>70</v>
      </c>
      <c r="B135" s="296" t="s">
        <v>91</v>
      </c>
      <c r="C135" s="296" t="s">
        <v>92</v>
      </c>
      <c r="D135" s="296" t="s">
        <v>93</v>
      </c>
      <c r="E135" s="296" t="s">
        <v>136</v>
      </c>
      <c r="F135" s="296" t="s">
        <v>95</v>
      </c>
      <c r="G135" s="298" t="s">
        <v>96</v>
      </c>
      <c r="H135" s="296" t="s">
        <v>77</v>
      </c>
      <c r="I135" s="296" t="s">
        <v>97</v>
      </c>
    </row>
    <row r="136" spans="1:12">
      <c r="A136" s="296"/>
      <c r="B136" s="296"/>
      <c r="C136" s="296"/>
      <c r="D136" s="296"/>
      <c r="E136" s="296"/>
      <c r="F136" s="296"/>
      <c r="G136" s="298"/>
      <c r="H136" s="296"/>
      <c r="I136" s="296"/>
    </row>
    <row r="137" spans="1:12">
      <c r="A137" s="296"/>
      <c r="B137" s="296"/>
      <c r="C137" s="296"/>
      <c r="D137" s="296"/>
      <c r="E137" s="296"/>
      <c r="F137" s="296"/>
      <c r="G137" s="298"/>
      <c r="H137" s="296"/>
      <c r="I137" s="296"/>
    </row>
    <row r="138" spans="1:12">
      <c r="A138" s="297"/>
      <c r="B138" s="297"/>
      <c r="C138" s="297"/>
      <c r="D138" s="297"/>
      <c r="E138" s="297"/>
      <c r="F138" s="297"/>
      <c r="G138" s="299"/>
      <c r="H138" s="297"/>
      <c r="I138" s="297"/>
    </row>
    <row r="139" spans="1:12">
      <c r="A139" s="59" t="s">
        <v>98</v>
      </c>
      <c r="B139" s="288" t="s">
        <v>99</v>
      </c>
      <c r="C139" s="288"/>
      <c r="D139" s="288"/>
      <c r="E139" s="288"/>
      <c r="F139" s="288"/>
      <c r="G139" s="288"/>
      <c r="H139" s="288"/>
      <c r="I139" s="61">
        <f>SUM(I140:I140)</f>
        <v>4053.7260000000001</v>
      </c>
    </row>
    <row r="140" spans="1:12" ht="121.9" customHeight="1">
      <c r="A140" s="62">
        <v>1</v>
      </c>
      <c r="B140" s="63" t="s">
        <v>152</v>
      </c>
      <c r="C140" s="63">
        <v>76</v>
      </c>
      <c r="D140" s="62">
        <v>8.9999999999999993E-3</v>
      </c>
      <c r="E140" s="64">
        <v>1.5</v>
      </c>
      <c r="F140" s="65">
        <v>1</v>
      </c>
      <c r="G140" s="66">
        <f>C140*E140*D140*F140</f>
        <v>1.026</v>
      </c>
      <c r="H140" s="67">
        <v>3951</v>
      </c>
      <c r="I140" s="67">
        <f t="shared" ref="I140" si="25">G140*H140</f>
        <v>4053.7260000000001</v>
      </c>
    </row>
    <row r="141" spans="1:12">
      <c r="A141" s="59" t="s">
        <v>102</v>
      </c>
      <c r="B141" s="288" t="s">
        <v>103</v>
      </c>
      <c r="C141" s="288"/>
      <c r="D141" s="288"/>
      <c r="E141" s="288"/>
      <c r="F141" s="288"/>
      <c r="G141" s="288"/>
      <c r="H141" s="288"/>
      <c r="I141" s="61">
        <f>SUM(I142:I143)</f>
        <v>3970.7550000000001</v>
      </c>
    </row>
    <row r="142" spans="1:12" ht="52.9">
      <c r="A142" s="62">
        <v>1</v>
      </c>
      <c r="B142" s="63" t="s">
        <v>153</v>
      </c>
      <c r="C142" s="63">
        <v>1</v>
      </c>
      <c r="D142" s="62">
        <v>0.4</v>
      </c>
      <c r="E142" s="64">
        <v>1.5</v>
      </c>
      <c r="F142" s="65">
        <v>1</v>
      </c>
      <c r="G142" s="66">
        <f t="shared" ref="G142:G143" si="26">C142*E142*D142*F142</f>
        <v>0.60000000000000009</v>
      </c>
      <c r="H142" s="67">
        <v>3951</v>
      </c>
      <c r="I142" s="67">
        <f t="shared" ref="I142:I147" si="27">G142*H142</f>
        <v>2370.6000000000004</v>
      </c>
    </row>
    <row r="143" spans="1:12" ht="39.6">
      <c r="A143" s="62">
        <v>2</v>
      </c>
      <c r="B143" s="63" t="s">
        <v>154</v>
      </c>
      <c r="C143" s="63">
        <v>30</v>
      </c>
      <c r="D143" s="62">
        <v>8.9999999999999993E-3</v>
      </c>
      <c r="E143" s="64">
        <v>1.5</v>
      </c>
      <c r="F143" s="65">
        <v>1</v>
      </c>
      <c r="G143" s="66">
        <f t="shared" si="26"/>
        <v>0.40499999999999997</v>
      </c>
      <c r="H143" s="67">
        <v>3951</v>
      </c>
      <c r="I143" s="67">
        <f t="shared" si="27"/>
        <v>1600.155</v>
      </c>
    </row>
    <row r="144" spans="1:12">
      <c r="A144" s="59" t="s">
        <v>106</v>
      </c>
      <c r="B144" s="68" t="s">
        <v>107</v>
      </c>
      <c r="C144" s="68"/>
      <c r="D144" s="59"/>
      <c r="E144" s="60"/>
      <c r="F144" s="69"/>
      <c r="G144" s="70"/>
      <c r="H144" s="61"/>
      <c r="I144" s="61">
        <f>I145</f>
        <v>1200.11625</v>
      </c>
    </row>
    <row r="145" spans="1:12" ht="27.6">
      <c r="A145" s="62">
        <v>1</v>
      </c>
      <c r="B145" s="71" t="s">
        <v>155</v>
      </c>
      <c r="C145" s="72">
        <v>1</v>
      </c>
      <c r="D145" s="62">
        <v>0.45</v>
      </c>
      <c r="E145" s="64">
        <v>1.5</v>
      </c>
      <c r="F145" s="65">
        <v>0.45</v>
      </c>
      <c r="G145" s="66">
        <f>C145*E145*D145*F145</f>
        <v>0.30375000000000002</v>
      </c>
      <c r="H145" s="67">
        <v>3951</v>
      </c>
      <c r="I145" s="67">
        <f t="shared" si="27"/>
        <v>1200.11625</v>
      </c>
    </row>
    <row r="146" spans="1:12">
      <c r="A146" s="59" t="s">
        <v>109</v>
      </c>
      <c r="B146" s="288" t="s">
        <v>110</v>
      </c>
      <c r="C146" s="288"/>
      <c r="D146" s="288"/>
      <c r="E146" s="288"/>
      <c r="F146" s="288"/>
      <c r="G146" s="288"/>
      <c r="H146" s="288"/>
      <c r="I146" s="61">
        <f>SUM(I147:I147)</f>
        <v>31924.87019999999</v>
      </c>
    </row>
    <row r="147" spans="1:12" ht="26.45">
      <c r="A147" s="62">
        <v>1</v>
      </c>
      <c r="B147" s="63" t="s">
        <v>110</v>
      </c>
      <c r="C147" s="63">
        <v>1</v>
      </c>
      <c r="D147" s="62">
        <v>6.7</v>
      </c>
      <c r="E147" s="64">
        <v>0.6</v>
      </c>
      <c r="F147" s="65">
        <v>2.0099999999999998</v>
      </c>
      <c r="G147" s="66">
        <f>C147*E147*D147*F147</f>
        <v>8.0801999999999978</v>
      </c>
      <c r="H147" s="67">
        <v>3951</v>
      </c>
      <c r="I147" s="67">
        <f t="shared" si="27"/>
        <v>31924.87019999999</v>
      </c>
    </row>
    <row r="148" spans="1:12" ht="52.9">
      <c r="A148" s="73" t="s">
        <v>113</v>
      </c>
      <c r="B148" s="73" t="s">
        <v>114</v>
      </c>
      <c r="C148" s="73"/>
      <c r="D148" s="73"/>
      <c r="E148" s="73"/>
      <c r="F148" s="73"/>
      <c r="G148" s="74"/>
      <c r="H148" s="73"/>
      <c r="I148" s="75">
        <f>SUM(I149:I150)</f>
        <v>294807.81599999999</v>
      </c>
    </row>
    <row r="149" spans="1:12" ht="41.45">
      <c r="A149" s="62">
        <v>1</v>
      </c>
      <c r="B149" s="76" t="s">
        <v>156</v>
      </c>
      <c r="C149" s="62">
        <v>1</v>
      </c>
      <c r="D149" s="62">
        <v>1.6</v>
      </c>
      <c r="E149" s="62">
        <v>44.76</v>
      </c>
      <c r="F149" s="62">
        <v>1</v>
      </c>
      <c r="G149" s="66">
        <f>C149*E149*D149*F149</f>
        <v>71.616</v>
      </c>
      <c r="H149" s="67">
        <v>3951</v>
      </c>
      <c r="I149" s="67">
        <f>G149*H149</f>
        <v>282954.81599999999</v>
      </c>
    </row>
    <row r="150" spans="1:12" ht="41.45">
      <c r="A150" s="62">
        <v>2</v>
      </c>
      <c r="B150" s="76" t="s">
        <v>157</v>
      </c>
      <c r="C150" s="62">
        <v>1</v>
      </c>
      <c r="D150" s="62">
        <v>1</v>
      </c>
      <c r="E150" s="62">
        <v>3</v>
      </c>
      <c r="F150" s="62">
        <v>1</v>
      </c>
      <c r="G150" s="66">
        <f>C150*E150*D150*F150</f>
        <v>3</v>
      </c>
      <c r="H150" s="67">
        <v>3951</v>
      </c>
      <c r="I150" s="67">
        <f>G150*H150</f>
        <v>11853</v>
      </c>
    </row>
    <row r="151" spans="1:12">
      <c r="A151" s="284" t="s">
        <v>141</v>
      </c>
      <c r="B151" s="285"/>
      <c r="C151" s="285"/>
      <c r="D151" s="285"/>
      <c r="E151" s="285"/>
      <c r="F151" s="285"/>
      <c r="G151" s="285"/>
      <c r="H151" s="286"/>
      <c r="I151" s="77">
        <f>I148+I146+I144+I141+I139</f>
        <v>335957.28345000005</v>
      </c>
    </row>
    <row r="152" spans="1:12">
      <c r="A152" s="284" t="s">
        <v>142</v>
      </c>
      <c r="B152" s="285"/>
      <c r="C152" s="285"/>
      <c r="D152" s="285"/>
      <c r="E152" s="285"/>
      <c r="F152" s="285"/>
      <c r="G152" s="285"/>
      <c r="H152" s="286"/>
      <c r="I152" s="77">
        <f>I151*17%</f>
        <v>57112.738186500013</v>
      </c>
      <c r="J152" s="78">
        <v>0.17</v>
      </c>
    </row>
    <row r="153" spans="1:12">
      <c r="A153" s="281" t="s">
        <v>143</v>
      </c>
      <c r="B153" s="282"/>
      <c r="C153" s="282"/>
      <c r="D153" s="282"/>
      <c r="E153" s="282"/>
      <c r="F153" s="282"/>
      <c r="G153" s="282"/>
      <c r="H153" s="283"/>
      <c r="I153" s="77">
        <f>I152+I151</f>
        <v>393070.02163650008</v>
      </c>
      <c r="J153" s="287" t="s">
        <v>158</v>
      </c>
      <c r="K153" s="79" t="s">
        <v>146</v>
      </c>
      <c r="L153" s="80">
        <v>400000</v>
      </c>
    </row>
    <row r="154" spans="1:12">
      <c r="A154" s="280" t="s">
        <v>145</v>
      </c>
      <c r="B154" s="280"/>
      <c r="C154" s="280"/>
      <c r="D154" s="280"/>
      <c r="E154" s="280"/>
      <c r="F154" s="280"/>
      <c r="G154" s="280"/>
      <c r="H154" s="280"/>
      <c r="I154" s="81">
        <v>48145</v>
      </c>
      <c r="J154" s="287"/>
      <c r="K154" s="79" t="s">
        <v>146</v>
      </c>
      <c r="L154" s="80">
        <v>50000</v>
      </c>
    </row>
    <row r="155" spans="1:12">
      <c r="A155" s="280" t="s">
        <v>147</v>
      </c>
      <c r="B155" s="280"/>
      <c r="C155" s="280"/>
      <c r="D155" s="280"/>
      <c r="E155" s="280"/>
      <c r="F155" s="280"/>
      <c r="G155" s="280"/>
      <c r="H155" s="280"/>
      <c r="I155" s="81">
        <v>4743</v>
      </c>
      <c r="J155" s="287"/>
      <c r="K155" s="79" t="s">
        <v>146</v>
      </c>
      <c r="L155" s="80">
        <v>5000</v>
      </c>
    </row>
    <row r="156" spans="1:12">
      <c r="A156" s="280" t="s">
        <v>148</v>
      </c>
      <c r="B156" s="280"/>
      <c r="C156" s="280"/>
      <c r="D156" s="280"/>
      <c r="E156" s="280"/>
      <c r="F156" s="280"/>
      <c r="G156" s="280"/>
      <c r="H156" s="280"/>
      <c r="I156" s="81">
        <v>4646</v>
      </c>
      <c r="J156" s="287"/>
      <c r="K156" s="79" t="s">
        <v>146</v>
      </c>
      <c r="L156" s="80">
        <v>5000</v>
      </c>
    </row>
    <row r="157" spans="1:12">
      <c r="A157" s="280" t="s">
        <v>149</v>
      </c>
      <c r="B157" s="280"/>
      <c r="C157" s="280"/>
      <c r="D157" s="280"/>
      <c r="E157" s="280"/>
      <c r="F157" s="280"/>
      <c r="G157" s="280"/>
      <c r="H157" s="280"/>
      <c r="I157" s="81">
        <v>1404</v>
      </c>
      <c r="J157" s="287"/>
      <c r="K157" s="79" t="s">
        <v>146</v>
      </c>
      <c r="L157" s="80">
        <v>2000</v>
      </c>
    </row>
    <row r="158" spans="1:12">
      <c r="A158" s="280" t="s">
        <v>150</v>
      </c>
      <c r="B158" s="280"/>
      <c r="C158" s="280"/>
      <c r="D158" s="280"/>
      <c r="E158" s="280"/>
      <c r="F158" s="280"/>
      <c r="G158" s="280"/>
      <c r="H158" s="280"/>
      <c r="I158" s="81">
        <v>37352</v>
      </c>
      <c r="J158" s="287"/>
      <c r="K158" s="79" t="s">
        <v>146</v>
      </c>
      <c r="L158" s="80">
        <v>40000</v>
      </c>
    </row>
  </sheetData>
  <mergeCells count="102">
    <mergeCell ref="A46:A48"/>
    <mergeCell ref="B46:B48"/>
    <mergeCell ref="C46:C48"/>
    <mergeCell ref="D46:D48"/>
    <mergeCell ref="D42:D45"/>
    <mergeCell ref="N4:R5"/>
    <mergeCell ref="C15:C20"/>
    <mergeCell ref="D15:D17"/>
    <mergeCell ref="A7:A9"/>
    <mergeCell ref="B7:B9"/>
    <mergeCell ref="C7:C9"/>
    <mergeCell ref="D18:D19"/>
    <mergeCell ref="E18:E19"/>
    <mergeCell ref="B31:B33"/>
    <mergeCell ref="C31:C33"/>
    <mergeCell ref="A31:A33"/>
    <mergeCell ref="I4:L5"/>
    <mergeCell ref="A26:A30"/>
    <mergeCell ref="B26:B30"/>
    <mergeCell ref="C26:C30"/>
    <mergeCell ref="D26:D28"/>
    <mergeCell ref="F4:H5"/>
    <mergeCell ref="A10:A14"/>
    <mergeCell ref="B10:B14"/>
    <mergeCell ref="C10:C14"/>
    <mergeCell ref="D10:D12"/>
    <mergeCell ref="A15:A20"/>
    <mergeCell ref="B15:B20"/>
    <mergeCell ref="F135:F138"/>
    <mergeCell ref="G135:G138"/>
    <mergeCell ref="B89:H89"/>
    <mergeCell ref="B92:H92"/>
    <mergeCell ref="B97:H97"/>
    <mergeCell ref="A123:H123"/>
    <mergeCell ref="A124:H124"/>
    <mergeCell ref="A133:I134"/>
    <mergeCell ref="H135:H138"/>
    <mergeCell ref="I135:I138"/>
    <mergeCell ref="A135:A138"/>
    <mergeCell ref="B135:B138"/>
    <mergeCell ref="C135:C138"/>
    <mergeCell ref="D135:D138"/>
    <mergeCell ref="E135:E138"/>
    <mergeCell ref="D34:D37"/>
    <mergeCell ref="B34:B37"/>
    <mergeCell ref="J125:J130"/>
    <mergeCell ref="A126:H126"/>
    <mergeCell ref="A127:H127"/>
    <mergeCell ref="A128:H128"/>
    <mergeCell ref="A129:H129"/>
    <mergeCell ref="A130:H130"/>
    <mergeCell ref="A125:H125"/>
    <mergeCell ref="A152:H152"/>
    <mergeCell ref="A153:H153"/>
    <mergeCell ref="J153:J158"/>
    <mergeCell ref="A154:H154"/>
    <mergeCell ref="A155:H155"/>
    <mergeCell ref="A156:H156"/>
    <mergeCell ref="A157:H157"/>
    <mergeCell ref="A158:H158"/>
    <mergeCell ref="B146:H146"/>
    <mergeCell ref="A151:H151"/>
    <mergeCell ref="B139:H139"/>
    <mergeCell ref="B141:H141"/>
    <mergeCell ref="H85:H88"/>
    <mergeCell ref="I85:I88"/>
    <mergeCell ref="A62:G63"/>
    <mergeCell ref="A68:K69"/>
    <mergeCell ref="A85:A88"/>
    <mergeCell ref="A72:A75"/>
    <mergeCell ref="A76:A79"/>
    <mergeCell ref="B85:B88"/>
    <mergeCell ref="C85:C88"/>
    <mergeCell ref="A83:I84"/>
    <mergeCell ref="D85:D88"/>
    <mergeCell ref="E85:E88"/>
    <mergeCell ref="F85:F88"/>
    <mergeCell ref="G85:G88"/>
    <mergeCell ref="D49:D51"/>
    <mergeCell ref="E53:E57"/>
    <mergeCell ref="B49:B57"/>
    <mergeCell ref="C49:C57"/>
    <mergeCell ref="A1:B1"/>
    <mergeCell ref="A21:A25"/>
    <mergeCell ref="B21:B25"/>
    <mergeCell ref="C21:C25"/>
    <mergeCell ref="D21:D23"/>
    <mergeCell ref="A4:A6"/>
    <mergeCell ref="B4:B6"/>
    <mergeCell ref="C4:C6"/>
    <mergeCell ref="D4:D6"/>
    <mergeCell ref="E4:E6"/>
    <mergeCell ref="A34:A37"/>
    <mergeCell ref="C34:C37"/>
    <mergeCell ref="E43:E45"/>
    <mergeCell ref="A41:A45"/>
    <mergeCell ref="B41:B45"/>
    <mergeCell ref="C41:C45"/>
    <mergeCell ref="A38:A40"/>
    <mergeCell ref="C38:C40"/>
    <mergeCell ref="B38:B40"/>
    <mergeCell ref="D38:D40"/>
  </mergeCells>
  <pageMargins left="0.7" right="0.7" top="0.75" bottom="0.75" header="0.3" footer="0.3"/>
  <pageSetup paperSize="9" scale="6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CD03-A6A7-4039-8D78-CB18744C9511}">
  <dimension ref="A1:U90"/>
  <sheetViews>
    <sheetView workbookViewId="0">
      <selection activeCell="B12" sqref="B12"/>
    </sheetView>
  </sheetViews>
  <sheetFormatPr defaultColWidth="8.85546875" defaultRowHeight="13.9"/>
  <cols>
    <col min="1" max="1" width="8.85546875" style="46"/>
    <col min="2" max="2" width="19.28515625" style="46" customWidth="1"/>
    <col min="3" max="4" width="21.28515625" style="46" customWidth="1"/>
    <col min="5" max="5" width="17.85546875" style="46" customWidth="1"/>
    <col min="6" max="6" width="13.5703125" style="46" customWidth="1"/>
    <col min="7" max="9" width="8.85546875" style="46"/>
    <col min="10" max="11" width="16.7109375" style="46" customWidth="1"/>
    <col min="12" max="12" width="27.28515625" style="46" customWidth="1"/>
    <col min="13" max="13" width="16.7109375" style="46" customWidth="1"/>
    <col min="14" max="16384" width="8.85546875" style="46"/>
  </cols>
  <sheetData>
    <row r="1" spans="1:21" ht="30" customHeight="1">
      <c r="A1" s="107" t="s">
        <v>159</v>
      </c>
      <c r="B1" s="108"/>
      <c r="C1" s="108"/>
      <c r="D1" s="108"/>
      <c r="E1" s="336" t="s">
        <v>160</v>
      </c>
      <c r="F1" s="336"/>
      <c r="G1" s="336"/>
      <c r="H1" s="336"/>
      <c r="I1" s="336"/>
      <c r="J1" s="337" t="s">
        <v>161</v>
      </c>
      <c r="K1" s="337"/>
      <c r="L1" s="337"/>
      <c r="M1" s="337"/>
      <c r="N1" s="337"/>
      <c r="O1" s="337"/>
      <c r="P1" s="337"/>
      <c r="Q1" s="337"/>
      <c r="R1" s="109"/>
      <c r="S1" s="119"/>
      <c r="T1" s="119"/>
      <c r="U1" s="119"/>
    </row>
    <row r="2" spans="1:21" ht="66">
      <c r="A2" s="110" t="s">
        <v>162</v>
      </c>
      <c r="B2" s="110" t="s">
        <v>163</v>
      </c>
      <c r="C2" s="110" t="s">
        <v>164</v>
      </c>
      <c r="D2" s="110" t="s">
        <v>165</v>
      </c>
      <c r="E2" s="111" t="s">
        <v>166</v>
      </c>
      <c r="F2" s="111" t="s">
        <v>167</v>
      </c>
      <c r="G2" s="111" t="s">
        <v>168</v>
      </c>
      <c r="H2" s="111" t="s">
        <v>169</v>
      </c>
      <c r="I2" s="111" t="s">
        <v>170</v>
      </c>
      <c r="J2" s="112" t="s">
        <v>171</v>
      </c>
      <c r="K2" s="112" t="s">
        <v>167</v>
      </c>
      <c r="L2" s="112" t="s">
        <v>172</v>
      </c>
      <c r="M2" s="112" t="s">
        <v>168</v>
      </c>
      <c r="N2" s="112" t="s">
        <v>173</v>
      </c>
      <c r="O2" s="112" t="s">
        <v>169</v>
      </c>
      <c r="P2" s="112" t="s">
        <v>174</v>
      </c>
      <c r="Q2" s="112" t="s">
        <v>175</v>
      </c>
      <c r="R2" s="108" t="s">
        <v>9</v>
      </c>
      <c r="S2" s="119"/>
      <c r="T2" s="119"/>
      <c r="U2" s="119"/>
    </row>
    <row r="3" spans="1:21">
      <c r="A3" s="113" t="s">
        <v>24</v>
      </c>
      <c r="B3" s="114" t="s">
        <v>176</v>
      </c>
      <c r="C3" s="115" t="s">
        <v>177</v>
      </c>
      <c r="D3" s="116" t="s">
        <v>178</v>
      </c>
      <c r="E3" s="117">
        <v>31900</v>
      </c>
      <c r="F3" s="117">
        <f>+ROUND(E3*0.1,0)</f>
        <v>3190</v>
      </c>
      <c r="G3" s="117"/>
      <c r="H3" s="117">
        <f>+E3+F3</f>
        <v>35090</v>
      </c>
      <c r="I3" s="118">
        <v>0.05</v>
      </c>
      <c r="J3" s="117">
        <v>29000</v>
      </c>
      <c r="K3" s="117">
        <f>+ROUND(J3*0.1,0)</f>
        <v>2900</v>
      </c>
      <c r="L3" s="117"/>
      <c r="M3" s="117"/>
      <c r="N3" s="117">
        <f>ROUND((J3+K3)*0.1,0)</f>
        <v>3190</v>
      </c>
      <c r="O3" s="117">
        <f>+SUM(J3:N3)</f>
        <v>35090</v>
      </c>
      <c r="P3" s="118">
        <v>0.05</v>
      </c>
      <c r="Q3" s="118">
        <v>0.1</v>
      </c>
      <c r="R3" s="108"/>
      <c r="S3" s="120"/>
      <c r="T3" s="119"/>
      <c r="U3" s="119"/>
    </row>
    <row r="4" spans="1:21" ht="18.75" customHeight="1">
      <c r="A4" s="113" t="s">
        <v>34</v>
      </c>
      <c r="B4" s="114" t="s">
        <v>176</v>
      </c>
      <c r="C4" s="115" t="s">
        <v>177</v>
      </c>
      <c r="D4" s="116" t="s">
        <v>178</v>
      </c>
      <c r="E4" s="117">
        <v>31900</v>
      </c>
      <c r="F4" s="117">
        <f t="shared" ref="F4:F5" si="0">+ROUND(E4*0.1,0)</f>
        <v>3190</v>
      </c>
      <c r="G4" s="117"/>
      <c r="H4" s="117">
        <f>+E4+F4</f>
        <v>35090</v>
      </c>
      <c r="I4" s="118">
        <v>0.05</v>
      </c>
      <c r="J4" s="117">
        <v>29000</v>
      </c>
      <c r="K4" s="117">
        <f t="shared" ref="K4:K5" si="1">+ROUND(J4*0.1,0)</f>
        <v>2900</v>
      </c>
      <c r="L4" s="117"/>
      <c r="M4" s="117"/>
      <c r="N4" s="117">
        <f>ROUND((J4+K4)*0.1,0)</f>
        <v>3190</v>
      </c>
      <c r="O4" s="117">
        <f>+SUM(J4:N4)</f>
        <v>35090</v>
      </c>
      <c r="P4" s="118">
        <v>0.05</v>
      </c>
      <c r="Q4" s="118">
        <v>0.1</v>
      </c>
      <c r="R4" s="108"/>
      <c r="S4" s="120"/>
      <c r="T4" s="119"/>
      <c r="U4" s="119"/>
    </row>
    <row r="5" spans="1:21">
      <c r="A5" s="113" t="s">
        <v>31</v>
      </c>
      <c r="B5" s="114" t="s">
        <v>176</v>
      </c>
      <c r="C5" s="115" t="s">
        <v>177</v>
      </c>
      <c r="D5" s="116" t="s">
        <v>178</v>
      </c>
      <c r="E5" s="117">
        <v>31900</v>
      </c>
      <c r="F5" s="117">
        <f t="shared" si="0"/>
        <v>3190</v>
      </c>
      <c r="G5" s="117"/>
      <c r="H5" s="117">
        <f>+E5+F5</f>
        <v>35090</v>
      </c>
      <c r="I5" s="118">
        <v>0.05</v>
      </c>
      <c r="J5" s="117">
        <v>29000</v>
      </c>
      <c r="K5" s="117">
        <f t="shared" si="1"/>
        <v>2900</v>
      </c>
      <c r="L5" s="117"/>
      <c r="M5" s="117"/>
      <c r="N5" s="117">
        <f>ROUND((J5+K5)*0.1,0)</f>
        <v>3190</v>
      </c>
      <c r="O5" s="117">
        <f>+SUM(J5:N5)</f>
        <v>35090</v>
      </c>
      <c r="P5" s="118">
        <v>0.05</v>
      </c>
      <c r="Q5" s="118">
        <v>0.1</v>
      </c>
      <c r="R5" s="108"/>
      <c r="S5" s="120"/>
      <c r="T5" s="119"/>
      <c r="U5" s="119"/>
    </row>
    <row r="6" spans="1:21">
      <c r="A6" s="113" t="s">
        <v>37</v>
      </c>
      <c r="B6" s="114" t="s">
        <v>176</v>
      </c>
      <c r="C6" s="115" t="s">
        <v>177</v>
      </c>
      <c r="D6" s="116" t="s">
        <v>178</v>
      </c>
      <c r="E6" s="117">
        <v>21156</v>
      </c>
      <c r="F6" s="117">
        <f>+ROUND(E6*0.1,0)</f>
        <v>2116</v>
      </c>
      <c r="G6" s="117">
        <v>52</v>
      </c>
      <c r="H6" s="117">
        <f>21156+2116+52</f>
        <v>23324</v>
      </c>
      <c r="I6" s="118">
        <v>0.05</v>
      </c>
      <c r="J6" s="117">
        <v>19233</v>
      </c>
      <c r="K6" s="117">
        <f>+ROUND(J6*0.1,0)</f>
        <v>1923</v>
      </c>
      <c r="L6" s="117"/>
      <c r="M6" s="117">
        <v>52</v>
      </c>
      <c r="N6" s="117">
        <f>ROUND((J6+K6+M6)*0.1,0)</f>
        <v>2121</v>
      </c>
      <c r="O6" s="117">
        <f>+SUM(J6:N6)</f>
        <v>23329</v>
      </c>
      <c r="P6" s="118">
        <v>0.05</v>
      </c>
      <c r="Q6" s="118">
        <v>0.1</v>
      </c>
      <c r="R6" s="108"/>
      <c r="S6" s="120"/>
      <c r="T6" s="119"/>
      <c r="U6" s="119"/>
    </row>
    <row r="7" spans="1:21">
      <c r="A7" s="113" t="s">
        <v>17</v>
      </c>
      <c r="B7" s="114" t="s">
        <v>176</v>
      </c>
      <c r="C7" s="115" t="s">
        <v>177</v>
      </c>
      <c r="D7" s="116" t="s">
        <v>178</v>
      </c>
      <c r="E7" s="117">
        <v>24872</v>
      </c>
      <c r="F7" s="117">
        <f>+ROUND(E7*0.3,0)</f>
        <v>7462</v>
      </c>
      <c r="G7" s="117"/>
      <c r="H7" s="117">
        <f>+E7+F7</f>
        <v>32334</v>
      </c>
      <c r="I7" s="118">
        <v>0.05</v>
      </c>
      <c r="J7" s="117">
        <f>+ROUND(24872/1.1,0)</f>
        <v>22611</v>
      </c>
      <c r="K7" s="117">
        <f>+ROUND(J7*0.3,0)</f>
        <v>6783</v>
      </c>
      <c r="L7" s="117"/>
      <c r="M7" s="117"/>
      <c r="N7" s="117">
        <f>ROUND((J7+K7)*0.1,0)</f>
        <v>2939</v>
      </c>
      <c r="O7" s="117">
        <f>+SUM(J7:N7)</f>
        <v>32333</v>
      </c>
      <c r="P7" s="118">
        <v>0.05</v>
      </c>
      <c r="Q7" s="118">
        <v>0.1</v>
      </c>
      <c r="R7" s="108" t="s">
        <v>179</v>
      </c>
      <c r="S7" s="120"/>
      <c r="T7" s="119"/>
      <c r="U7" s="119"/>
    </row>
    <row r="8" spans="1:21">
      <c r="A8" s="182" t="s">
        <v>45</v>
      </c>
      <c r="B8" s="183" t="s">
        <v>176</v>
      </c>
      <c r="C8" s="184" t="s">
        <v>177</v>
      </c>
      <c r="D8" s="185" t="s">
        <v>178</v>
      </c>
      <c r="E8" s="186"/>
      <c r="F8" s="186"/>
      <c r="G8" s="186"/>
      <c r="H8" s="186"/>
      <c r="I8" s="187"/>
      <c r="J8" s="186">
        <v>29000</v>
      </c>
      <c r="K8" s="186">
        <f t="shared" ref="K8" si="2">+ROUND(J8*0.1,0)</f>
        <v>2900</v>
      </c>
      <c r="L8" s="186"/>
      <c r="M8" s="186"/>
      <c r="N8" s="186">
        <f>10%*(J8+K8)</f>
        <v>3190</v>
      </c>
      <c r="O8" s="186">
        <f>J8+K8+N8</f>
        <v>35090</v>
      </c>
      <c r="P8" s="187">
        <v>0.05</v>
      </c>
      <c r="Q8" s="187">
        <v>0.1</v>
      </c>
      <c r="R8" s="188"/>
      <c r="S8" s="120"/>
      <c r="T8" s="119"/>
      <c r="U8" s="119"/>
    </row>
    <row r="9" spans="1:21" ht="15">
      <c r="A9" s="174" t="s">
        <v>180</v>
      </c>
      <c r="B9" s="175" t="s">
        <v>176</v>
      </c>
      <c r="C9" s="176" t="s">
        <v>177</v>
      </c>
      <c r="D9" s="177" t="s">
        <v>178</v>
      </c>
      <c r="E9" s="178"/>
      <c r="F9" s="178"/>
      <c r="G9" s="178"/>
      <c r="H9" s="178"/>
      <c r="I9" s="179"/>
      <c r="J9" s="178">
        <v>11429</v>
      </c>
      <c r="K9" s="178"/>
      <c r="L9" s="178"/>
      <c r="M9" s="178"/>
      <c r="N9" s="178">
        <f>10%*J9</f>
        <v>1142.9000000000001</v>
      </c>
      <c r="O9" s="178">
        <f>J9+K9+N9</f>
        <v>12571.9</v>
      </c>
      <c r="P9" s="179">
        <v>0.05</v>
      </c>
      <c r="Q9" s="179">
        <v>0.1</v>
      </c>
      <c r="R9" s="180"/>
      <c r="S9" s="120"/>
      <c r="T9" s="119"/>
      <c r="U9" s="119"/>
    </row>
    <row r="10" spans="1:21">
      <c r="A10" s="174" t="s">
        <v>41</v>
      </c>
      <c r="B10" s="175" t="s">
        <v>176</v>
      </c>
      <c r="C10" s="176" t="s">
        <v>177</v>
      </c>
      <c r="D10" s="177" t="s">
        <v>178</v>
      </c>
      <c r="E10" s="178">
        <v>25560.000000000004</v>
      </c>
      <c r="F10" s="178">
        <v>7668</v>
      </c>
      <c r="G10" s="178"/>
      <c r="H10" s="178">
        <v>25560.000000000004</v>
      </c>
      <c r="I10" s="179">
        <v>0.05</v>
      </c>
      <c r="J10" s="178">
        <f>21300*1.1</f>
        <v>23430.000000000004</v>
      </c>
      <c r="K10" s="178"/>
      <c r="L10" s="178">
        <v>7668</v>
      </c>
      <c r="M10" s="178"/>
      <c r="N10" s="178">
        <f>21300*10%</f>
        <v>2130</v>
      </c>
      <c r="O10" s="178">
        <f>J10+K10+N10</f>
        <v>25560.000000000004</v>
      </c>
      <c r="P10" s="179">
        <v>0.05</v>
      </c>
      <c r="Q10" s="179">
        <v>0.1</v>
      </c>
      <c r="R10" s="180" t="s">
        <v>181</v>
      </c>
      <c r="S10" s="120"/>
      <c r="T10" s="119" t="s">
        <v>182</v>
      </c>
      <c r="U10" s="119"/>
    </row>
    <row r="11" spans="1:21">
      <c r="A11" s="174">
        <v>88</v>
      </c>
      <c r="B11" s="175" t="s">
        <v>176</v>
      </c>
      <c r="C11" s="176" t="s">
        <v>177</v>
      </c>
      <c r="D11" s="177" t="s">
        <v>178</v>
      </c>
      <c r="E11" s="178">
        <v>35235</v>
      </c>
      <c r="F11" s="178">
        <v>3524</v>
      </c>
      <c r="G11" s="178"/>
      <c r="H11" s="178"/>
      <c r="I11" s="179">
        <v>0.05</v>
      </c>
      <c r="J11" s="178">
        <v>29000</v>
      </c>
      <c r="K11" s="178">
        <f t="shared" ref="K11" si="3">+ROUND(J11*0.1,0)</f>
        <v>2900</v>
      </c>
      <c r="L11" s="178"/>
      <c r="M11" s="178"/>
      <c r="N11" s="178">
        <v>6859</v>
      </c>
      <c r="O11" s="178">
        <f>J11+K11+N11</f>
        <v>38759</v>
      </c>
      <c r="P11" s="179">
        <v>0.05</v>
      </c>
      <c r="Q11" s="179">
        <v>0.1</v>
      </c>
      <c r="R11" s="180"/>
      <c r="S11" s="120"/>
      <c r="T11" s="119"/>
      <c r="U11" s="119"/>
    </row>
    <row r="12" spans="1:21" ht="15">
      <c r="A12" s="174" t="s">
        <v>183</v>
      </c>
      <c r="B12" s="114" t="s">
        <v>176</v>
      </c>
      <c r="C12" s="115" t="s">
        <v>177</v>
      </c>
      <c r="D12" s="116" t="s">
        <v>178</v>
      </c>
      <c r="E12" s="117">
        <v>31900</v>
      </c>
      <c r="F12" s="117">
        <f>+ROUND(E12*0.1,0)</f>
        <v>3190</v>
      </c>
      <c r="G12" s="117"/>
      <c r="H12" s="117">
        <f>+E12+F12</f>
        <v>35090</v>
      </c>
      <c r="I12" s="118">
        <v>0.05</v>
      </c>
      <c r="J12" s="117">
        <v>29000</v>
      </c>
      <c r="K12" s="117">
        <f>+ROUND(J12*0.1,0)</f>
        <v>2900</v>
      </c>
      <c r="L12" s="117"/>
      <c r="M12" s="117"/>
      <c r="N12" s="117">
        <f>ROUND((J12+K12)*0.1,0)</f>
        <v>3190</v>
      </c>
      <c r="O12" s="117">
        <f>+SUM(J12:N12)</f>
        <v>35090</v>
      </c>
      <c r="P12" s="118">
        <v>0.05</v>
      </c>
      <c r="Q12" s="118">
        <v>0.1</v>
      </c>
      <c r="R12" s="180"/>
      <c r="S12" s="120"/>
      <c r="T12" s="119"/>
      <c r="U12" s="119"/>
    </row>
    <row r="13" spans="1:21" ht="24">
      <c r="A13" s="189" t="s">
        <v>49</v>
      </c>
      <c r="B13" s="175" t="s">
        <v>176</v>
      </c>
      <c r="C13" s="176" t="s">
        <v>177</v>
      </c>
      <c r="D13" s="177" t="s">
        <v>178</v>
      </c>
      <c r="E13" s="178"/>
      <c r="F13" s="178"/>
      <c r="G13" s="178"/>
      <c r="H13" s="178"/>
      <c r="I13" s="179"/>
      <c r="J13" s="178"/>
      <c r="K13" s="178"/>
      <c r="L13" s="178"/>
      <c r="M13" s="178"/>
      <c r="N13" s="178"/>
      <c r="O13" s="179"/>
      <c r="P13" s="179"/>
      <c r="Q13" s="180"/>
      <c r="R13" s="181"/>
    </row>
    <row r="14" spans="1:21" ht="14.45" customHeight="1">
      <c r="A14" s="341" t="s">
        <v>184</v>
      </c>
      <c r="B14" s="341"/>
      <c r="C14" s="341"/>
      <c r="D14" s="341"/>
      <c r="E14" s="341"/>
    </row>
    <row r="15" spans="1:21">
      <c r="A15" s="341"/>
      <c r="B15" s="341"/>
      <c r="C15" s="341"/>
      <c r="D15" s="341"/>
      <c r="E15" s="341"/>
    </row>
    <row r="16" spans="1:21">
      <c r="A16" s="340"/>
      <c r="B16" s="340"/>
      <c r="C16" s="340"/>
      <c r="D16" s="340"/>
      <c r="E16" s="340"/>
    </row>
    <row r="17" spans="1:13" ht="19.149999999999999" customHeight="1">
      <c r="A17" s="323" t="s">
        <v>70</v>
      </c>
      <c r="B17" s="323" t="s">
        <v>185</v>
      </c>
      <c r="C17" s="342" t="s">
        <v>186</v>
      </c>
      <c r="D17" s="344"/>
      <c r="E17" s="323" t="s">
        <v>187</v>
      </c>
      <c r="F17" s="82" t="s">
        <v>188</v>
      </c>
    </row>
    <row r="18" spans="1:13" ht="19.149999999999999" customHeight="1">
      <c r="A18" s="325"/>
      <c r="B18" s="325"/>
      <c r="C18" s="82" t="s">
        <v>189</v>
      </c>
      <c r="D18" s="83" t="s">
        <v>18</v>
      </c>
      <c r="E18" s="325"/>
      <c r="F18" s="82"/>
    </row>
    <row r="19" spans="1:13" ht="69" customHeight="1">
      <c r="A19" s="82">
        <v>1</v>
      </c>
      <c r="B19" s="50" t="s">
        <v>190</v>
      </c>
      <c r="C19" s="82" t="s">
        <v>191</v>
      </c>
      <c r="D19" s="50" t="s">
        <v>192</v>
      </c>
      <c r="E19" s="50" t="s">
        <v>193</v>
      </c>
      <c r="F19" s="330" t="s">
        <v>194</v>
      </c>
      <c r="G19" s="121"/>
    </row>
    <row r="20" spans="1:13" ht="27.6" customHeight="1">
      <c r="A20" s="82">
        <v>2</v>
      </c>
      <c r="B20" s="50" t="s">
        <v>195</v>
      </c>
      <c r="C20" s="82" t="s">
        <v>196</v>
      </c>
      <c r="D20" s="50" t="s">
        <v>197</v>
      </c>
      <c r="E20" s="50" t="s">
        <v>198</v>
      </c>
      <c r="F20" s="332"/>
      <c r="G20" s="121"/>
    </row>
    <row r="23" spans="1:13" ht="13.9" customHeight="1">
      <c r="A23" s="326" t="s">
        <v>199</v>
      </c>
      <c r="B23" s="326"/>
      <c r="C23" s="326"/>
      <c r="D23" s="326"/>
      <c r="J23" s="326" t="s">
        <v>200</v>
      </c>
      <c r="K23" s="326"/>
      <c r="L23" s="326"/>
      <c r="M23" s="326"/>
    </row>
    <row r="24" spans="1:13">
      <c r="A24" s="326"/>
      <c r="B24" s="326"/>
      <c r="C24" s="326"/>
      <c r="D24" s="326"/>
      <c r="J24" s="326"/>
      <c r="K24" s="326"/>
      <c r="L24" s="326"/>
      <c r="M24" s="326"/>
    </row>
    <row r="25" spans="1:13">
      <c r="A25" s="327"/>
      <c r="B25" s="327"/>
      <c r="C25" s="327"/>
      <c r="D25" s="327"/>
      <c r="J25" s="327"/>
      <c r="K25" s="327"/>
      <c r="L25" s="327"/>
      <c r="M25" s="327"/>
    </row>
    <row r="26" spans="1:13">
      <c r="A26" s="82" t="s">
        <v>70</v>
      </c>
      <c r="B26" s="82" t="s">
        <v>201</v>
      </c>
      <c r="C26" s="82" t="s">
        <v>186</v>
      </c>
      <c r="D26" s="82" t="s">
        <v>188</v>
      </c>
      <c r="J26" s="82" t="s">
        <v>70</v>
      </c>
      <c r="K26" s="82" t="s">
        <v>201</v>
      </c>
      <c r="L26" s="82" t="s">
        <v>186</v>
      </c>
      <c r="M26" s="82" t="s">
        <v>188</v>
      </c>
    </row>
    <row r="27" spans="1:13" ht="61.5" customHeight="1">
      <c r="A27" s="82">
        <v>1</v>
      </c>
      <c r="B27" s="50" t="s">
        <v>34</v>
      </c>
      <c r="C27" s="84">
        <v>88000</v>
      </c>
      <c r="D27" s="50"/>
      <c r="E27" s="338" t="s">
        <v>194</v>
      </c>
      <c r="F27" s="326" t="s">
        <v>202</v>
      </c>
      <c r="G27" s="326"/>
      <c r="J27" s="82">
        <v>1</v>
      </c>
      <c r="K27" s="50" t="s">
        <v>34</v>
      </c>
      <c r="L27" s="213" t="s">
        <v>203</v>
      </c>
      <c r="M27" s="50"/>
    </row>
    <row r="28" spans="1:13" ht="51.75" customHeight="1">
      <c r="A28" s="82">
        <v>2</v>
      </c>
      <c r="B28" s="50" t="s">
        <v>204</v>
      </c>
      <c r="C28" s="84">
        <v>88000</v>
      </c>
      <c r="D28" s="50"/>
      <c r="E28" s="338"/>
      <c r="F28" s="326"/>
      <c r="G28" s="326"/>
      <c r="J28" s="82">
        <v>2</v>
      </c>
      <c r="K28" s="50" t="s">
        <v>204</v>
      </c>
      <c r="L28" s="233" t="s">
        <v>205</v>
      </c>
      <c r="M28" s="50"/>
    </row>
    <row r="29" spans="1:13">
      <c r="A29" s="82">
        <v>3</v>
      </c>
      <c r="B29" s="50" t="s">
        <v>24</v>
      </c>
      <c r="C29" s="84">
        <v>120000</v>
      </c>
      <c r="D29" s="50"/>
      <c r="E29" s="338"/>
      <c r="F29" s="326"/>
      <c r="G29" s="326"/>
      <c r="J29" s="82">
        <v>3</v>
      </c>
      <c r="K29" s="50" t="s">
        <v>24</v>
      </c>
      <c r="L29" s="84"/>
      <c r="M29" s="50"/>
    </row>
    <row r="30" spans="1:13" ht="45.75">
      <c r="A30" s="82">
        <v>4</v>
      </c>
      <c r="B30" s="50" t="s">
        <v>206</v>
      </c>
      <c r="C30" s="84">
        <v>120000</v>
      </c>
      <c r="D30" s="50"/>
      <c r="E30" s="338"/>
      <c r="F30" s="326"/>
      <c r="G30" s="326"/>
      <c r="J30" s="82">
        <v>4</v>
      </c>
      <c r="K30" s="50" t="s">
        <v>206</v>
      </c>
      <c r="L30" s="142" t="s">
        <v>207</v>
      </c>
      <c r="M30" s="50"/>
    </row>
    <row r="31" spans="1:13">
      <c r="A31" s="82">
        <v>5</v>
      </c>
      <c r="B31" s="50" t="s">
        <v>208</v>
      </c>
      <c r="C31" s="84">
        <v>120000</v>
      </c>
      <c r="D31" s="50"/>
      <c r="E31" s="338"/>
      <c r="F31" s="326"/>
      <c r="G31" s="326"/>
      <c r="J31" s="82">
        <v>5</v>
      </c>
      <c r="K31" s="50" t="s">
        <v>208</v>
      </c>
      <c r="L31" s="84"/>
      <c r="M31" s="50"/>
    </row>
    <row r="32" spans="1:13">
      <c r="A32" s="333">
        <v>6</v>
      </c>
      <c r="B32" s="339" t="s">
        <v>51</v>
      </c>
      <c r="C32" s="84">
        <v>120000</v>
      </c>
      <c r="D32" s="50" t="s">
        <v>209</v>
      </c>
      <c r="E32" s="338"/>
      <c r="F32" s="326"/>
      <c r="G32" s="326"/>
      <c r="J32" s="328">
        <v>6</v>
      </c>
      <c r="K32" s="269" t="s">
        <v>51</v>
      </c>
      <c r="L32" s="84"/>
      <c r="M32" s="50"/>
    </row>
    <row r="33" spans="1:13">
      <c r="A33" s="335"/>
      <c r="B33" s="340"/>
      <c r="C33" s="84">
        <v>130000</v>
      </c>
      <c r="D33" s="50" t="s">
        <v>210</v>
      </c>
      <c r="E33" s="338"/>
      <c r="F33" s="326"/>
      <c r="G33" s="326"/>
      <c r="J33" s="328"/>
      <c r="K33" s="330"/>
      <c r="L33" s="154"/>
      <c r="M33" s="50"/>
    </row>
    <row r="34" spans="1:13" ht="45.75" customHeight="1">
      <c r="A34" s="333">
        <v>7</v>
      </c>
      <c r="B34" s="330" t="s">
        <v>198</v>
      </c>
      <c r="C34" s="84">
        <v>212500</v>
      </c>
      <c r="D34" s="50" t="s">
        <v>211</v>
      </c>
      <c r="E34" s="338"/>
      <c r="F34" s="326"/>
      <c r="G34" s="326"/>
      <c r="J34" s="342">
        <v>7</v>
      </c>
      <c r="K34" s="343" t="s">
        <v>198</v>
      </c>
      <c r="L34" s="329" t="s">
        <v>212</v>
      </c>
      <c r="M34" s="153"/>
    </row>
    <row r="35" spans="1:13" ht="15">
      <c r="A35" s="334"/>
      <c r="B35" s="331"/>
      <c r="C35" s="84">
        <v>70000</v>
      </c>
      <c r="D35" s="50" t="s">
        <v>213</v>
      </c>
      <c r="E35" s="338"/>
      <c r="F35" s="326"/>
      <c r="G35" s="326"/>
      <c r="J35" s="342"/>
      <c r="K35" s="343"/>
      <c r="L35" s="329"/>
      <c r="M35" s="153"/>
    </row>
    <row r="36" spans="1:13" ht="45.75" customHeight="1">
      <c r="A36" s="334"/>
      <c r="B36" s="331"/>
      <c r="C36" s="84">
        <v>184000</v>
      </c>
      <c r="D36" s="50" t="s">
        <v>4</v>
      </c>
      <c r="E36" s="338"/>
      <c r="F36" s="326"/>
      <c r="G36" s="326"/>
      <c r="J36" s="342"/>
      <c r="K36" s="343"/>
      <c r="L36" s="329" t="s">
        <v>214</v>
      </c>
      <c r="M36" s="153"/>
    </row>
    <row r="37" spans="1:13" ht="13.9" customHeight="1">
      <c r="A37" s="335"/>
      <c r="B37" s="332"/>
      <c r="C37" s="84">
        <v>212500</v>
      </c>
      <c r="D37" s="50" t="s">
        <v>215</v>
      </c>
      <c r="E37" s="338"/>
      <c r="F37" s="326"/>
      <c r="G37" s="326"/>
      <c r="J37" s="342"/>
      <c r="K37" s="343"/>
      <c r="L37" s="329"/>
      <c r="M37" s="153"/>
    </row>
    <row r="40" spans="1:13">
      <c r="A40" s="326" t="s">
        <v>216</v>
      </c>
      <c r="B40" s="326"/>
      <c r="C40" s="326"/>
      <c r="D40" s="326"/>
      <c r="J40" s="326" t="s">
        <v>217</v>
      </c>
      <c r="K40" s="326"/>
      <c r="L40" s="326"/>
      <c r="M40" s="326"/>
    </row>
    <row r="41" spans="1:13">
      <c r="A41" s="326"/>
      <c r="B41" s="326"/>
      <c r="C41" s="326"/>
      <c r="D41" s="326"/>
      <c r="J41" s="326"/>
      <c r="K41" s="326"/>
      <c r="L41" s="326"/>
      <c r="M41" s="326"/>
    </row>
    <row r="42" spans="1:13">
      <c r="A42" s="327"/>
      <c r="B42" s="327"/>
      <c r="C42" s="327"/>
      <c r="D42" s="327"/>
      <c r="J42" s="327"/>
      <c r="K42" s="327"/>
      <c r="L42" s="327"/>
      <c r="M42" s="327"/>
    </row>
    <row r="43" spans="1:13">
      <c r="A43" s="82" t="s">
        <v>70</v>
      </c>
      <c r="B43" s="82" t="s">
        <v>201</v>
      </c>
      <c r="C43" s="82" t="s">
        <v>186</v>
      </c>
      <c r="D43" s="82" t="s">
        <v>188</v>
      </c>
      <c r="J43" s="82" t="s">
        <v>70</v>
      </c>
      <c r="K43" s="82" t="s">
        <v>201</v>
      </c>
      <c r="L43" s="82" t="s">
        <v>186</v>
      </c>
      <c r="M43" s="82" t="s">
        <v>188</v>
      </c>
    </row>
    <row r="44" spans="1:13" ht="106.5">
      <c r="A44" s="82">
        <v>1</v>
      </c>
      <c r="B44" s="50" t="s">
        <v>34</v>
      </c>
      <c r="C44" s="84">
        <v>40000</v>
      </c>
      <c r="D44" s="50" t="s">
        <v>218</v>
      </c>
      <c r="E44" s="338" t="s">
        <v>194</v>
      </c>
      <c r="F44" s="326" t="s">
        <v>202</v>
      </c>
      <c r="G44" s="326"/>
      <c r="J44" s="82">
        <v>1</v>
      </c>
      <c r="K44" s="50" t="s">
        <v>34</v>
      </c>
      <c r="L44" s="213" t="s">
        <v>203</v>
      </c>
      <c r="M44" s="50"/>
    </row>
    <row r="45" spans="1:13" ht="60.75">
      <c r="A45" s="323">
        <v>2</v>
      </c>
      <c r="B45" s="330" t="s">
        <v>204</v>
      </c>
      <c r="C45" s="84">
        <v>44000</v>
      </c>
      <c r="D45" s="50" t="s">
        <v>218</v>
      </c>
      <c r="E45" s="338"/>
      <c r="F45" s="326"/>
      <c r="G45" s="326"/>
      <c r="J45" s="82">
        <v>2</v>
      </c>
      <c r="K45" s="50" t="s">
        <v>204</v>
      </c>
      <c r="L45" s="233" t="s">
        <v>219</v>
      </c>
      <c r="M45" s="50"/>
    </row>
    <row r="46" spans="1:13">
      <c r="A46" s="325"/>
      <c r="B46" s="332"/>
      <c r="C46" s="84">
        <v>27500</v>
      </c>
      <c r="D46" s="50" t="s">
        <v>220</v>
      </c>
      <c r="E46" s="338"/>
      <c r="F46" s="326"/>
      <c r="G46" s="326"/>
      <c r="J46" s="82">
        <v>3</v>
      </c>
      <c r="K46" s="50" t="s">
        <v>24</v>
      </c>
      <c r="L46" s="84"/>
      <c r="M46" s="50"/>
    </row>
    <row r="47" spans="1:13" ht="45.75">
      <c r="A47" s="323">
        <v>3</v>
      </c>
      <c r="B47" s="330" t="s">
        <v>24</v>
      </c>
      <c r="C47" s="84">
        <v>50000</v>
      </c>
      <c r="D47" s="50" t="s">
        <v>218</v>
      </c>
      <c r="E47" s="338"/>
      <c r="F47" s="326"/>
      <c r="G47" s="326"/>
      <c r="J47" s="82">
        <v>4</v>
      </c>
      <c r="K47" s="50" t="s">
        <v>206</v>
      </c>
      <c r="L47" s="142" t="s">
        <v>207</v>
      </c>
      <c r="M47" s="50"/>
    </row>
    <row r="48" spans="1:13">
      <c r="A48" s="325"/>
      <c r="B48" s="332"/>
      <c r="C48" s="84">
        <v>25000</v>
      </c>
      <c r="D48" s="50" t="s">
        <v>220</v>
      </c>
      <c r="E48" s="338"/>
      <c r="F48" s="326"/>
      <c r="G48" s="326"/>
      <c r="J48" s="82">
        <v>5</v>
      </c>
      <c r="K48" s="50" t="s">
        <v>208</v>
      </c>
      <c r="L48" s="84"/>
      <c r="M48" s="50"/>
    </row>
    <row r="49" spans="1:13">
      <c r="A49" s="82">
        <v>4</v>
      </c>
      <c r="B49" s="50" t="s">
        <v>206</v>
      </c>
      <c r="C49" s="84">
        <v>70000</v>
      </c>
      <c r="D49" s="50" t="s">
        <v>221</v>
      </c>
      <c r="E49" s="338"/>
      <c r="F49" s="326"/>
      <c r="G49" s="326"/>
      <c r="J49" s="328">
        <v>6</v>
      </c>
      <c r="K49" s="269" t="s">
        <v>51</v>
      </c>
      <c r="L49" s="84"/>
      <c r="M49" s="50"/>
    </row>
    <row r="50" spans="1:13">
      <c r="A50" s="333">
        <v>5</v>
      </c>
      <c r="B50" s="330" t="s">
        <v>208</v>
      </c>
      <c r="C50" s="84">
        <v>150000</v>
      </c>
      <c r="D50" s="50" t="s">
        <v>218</v>
      </c>
      <c r="E50" s="338"/>
      <c r="F50" s="326"/>
      <c r="G50" s="326"/>
      <c r="J50" s="328"/>
      <c r="K50" s="269"/>
      <c r="L50" s="84"/>
      <c r="M50" s="50"/>
    </row>
    <row r="51" spans="1:13" ht="15" customHeight="1">
      <c r="A51" s="335"/>
      <c r="B51" s="332"/>
      <c r="C51" s="84">
        <v>50000</v>
      </c>
      <c r="D51" s="50" t="s">
        <v>220</v>
      </c>
      <c r="E51" s="338"/>
      <c r="F51" s="326"/>
      <c r="G51" s="326"/>
      <c r="J51" s="328">
        <v>7</v>
      </c>
      <c r="K51" s="269" t="s">
        <v>198</v>
      </c>
      <c r="L51" s="329" t="s">
        <v>222</v>
      </c>
      <c r="M51" s="50"/>
    </row>
    <row r="52" spans="1:13" ht="15" customHeight="1">
      <c r="A52" s="86">
        <v>6</v>
      </c>
      <c r="B52" s="85" t="s">
        <v>51</v>
      </c>
      <c r="C52" s="84">
        <v>50000</v>
      </c>
      <c r="D52" s="50" t="s">
        <v>220</v>
      </c>
      <c r="E52" s="338"/>
      <c r="F52" s="326"/>
      <c r="G52" s="326"/>
      <c r="J52" s="328"/>
      <c r="K52" s="269"/>
      <c r="L52" s="329"/>
      <c r="M52" s="50"/>
    </row>
    <row r="53" spans="1:13" ht="15" customHeight="1">
      <c r="A53" s="333">
        <v>7</v>
      </c>
      <c r="B53" s="330" t="s">
        <v>198</v>
      </c>
      <c r="C53" s="84">
        <v>45000</v>
      </c>
      <c r="D53" s="50" t="s">
        <v>223</v>
      </c>
      <c r="E53" s="338"/>
      <c r="F53" s="326"/>
      <c r="G53" s="326"/>
      <c r="J53" s="328"/>
      <c r="K53" s="269"/>
      <c r="L53" s="329" t="s">
        <v>224</v>
      </c>
      <c r="M53" s="50"/>
    </row>
    <row r="54" spans="1:13" ht="15" customHeight="1">
      <c r="A54" s="334"/>
      <c r="B54" s="331"/>
      <c r="C54" s="84">
        <v>45000</v>
      </c>
      <c r="D54" s="50" t="s">
        <v>225</v>
      </c>
      <c r="E54" s="338"/>
      <c r="F54" s="326"/>
      <c r="G54" s="326"/>
      <c r="J54" s="328"/>
      <c r="K54" s="269"/>
      <c r="L54" s="329"/>
      <c r="M54" s="50"/>
    </row>
    <row r="55" spans="1:13">
      <c r="A55" s="334"/>
      <c r="B55" s="331"/>
      <c r="C55" s="84">
        <v>92000</v>
      </c>
      <c r="D55" s="50" t="s">
        <v>226</v>
      </c>
      <c r="E55" s="338"/>
      <c r="F55" s="326"/>
      <c r="G55" s="326"/>
    </row>
    <row r="56" spans="1:13">
      <c r="A56" s="335"/>
      <c r="B56" s="332"/>
      <c r="C56" s="84">
        <v>45000</v>
      </c>
      <c r="D56" s="50" t="s">
        <v>227</v>
      </c>
      <c r="E56" s="338"/>
      <c r="F56" s="326"/>
      <c r="G56" s="326"/>
    </row>
    <row r="59" spans="1:13">
      <c r="A59" s="326" t="s">
        <v>228</v>
      </c>
      <c r="B59" s="326"/>
      <c r="C59" s="326"/>
      <c r="D59" s="326"/>
      <c r="J59" s="326" t="s">
        <v>229</v>
      </c>
      <c r="K59" s="326"/>
      <c r="L59" s="326"/>
      <c r="M59" s="326"/>
    </row>
    <row r="60" spans="1:13">
      <c r="A60" s="326"/>
      <c r="B60" s="326"/>
      <c r="C60" s="326"/>
      <c r="D60" s="326"/>
      <c r="J60" s="326"/>
      <c r="K60" s="326"/>
      <c r="L60" s="326"/>
      <c r="M60" s="326"/>
    </row>
    <row r="61" spans="1:13">
      <c r="A61" s="327"/>
      <c r="B61" s="327"/>
      <c r="C61" s="327"/>
      <c r="D61" s="327"/>
      <c r="J61" s="327"/>
      <c r="K61" s="327"/>
      <c r="L61" s="327"/>
      <c r="M61" s="327"/>
    </row>
    <row r="62" spans="1:13">
      <c r="A62" s="82" t="s">
        <v>70</v>
      </c>
      <c r="B62" s="82" t="s">
        <v>201</v>
      </c>
      <c r="C62" s="82" t="s">
        <v>186</v>
      </c>
      <c r="D62" s="82" t="s">
        <v>188</v>
      </c>
      <c r="J62" s="82" t="s">
        <v>70</v>
      </c>
      <c r="K62" s="82" t="s">
        <v>201</v>
      </c>
      <c r="L62" s="82" t="s">
        <v>186</v>
      </c>
      <c r="M62" s="82" t="s">
        <v>188</v>
      </c>
    </row>
    <row r="63" spans="1:13" ht="60.75">
      <c r="A63" s="82">
        <v>1</v>
      </c>
      <c r="B63" s="50" t="s">
        <v>34</v>
      </c>
      <c r="C63" s="84">
        <v>1250000</v>
      </c>
      <c r="D63" s="50"/>
      <c r="E63" s="338" t="s">
        <v>194</v>
      </c>
      <c r="F63" s="326" t="s">
        <v>202</v>
      </c>
      <c r="G63" s="326"/>
      <c r="J63" s="82">
        <v>1</v>
      </c>
      <c r="K63" s="50" t="s">
        <v>34</v>
      </c>
      <c r="L63" s="142" t="s">
        <v>230</v>
      </c>
      <c r="M63" s="50"/>
    </row>
    <row r="64" spans="1:13" ht="60.75">
      <c r="A64" s="323">
        <v>2</v>
      </c>
      <c r="B64" s="330" t="s">
        <v>231</v>
      </c>
      <c r="C64" s="84">
        <v>1750000</v>
      </c>
      <c r="D64" s="50" t="s">
        <v>232</v>
      </c>
      <c r="E64" s="338"/>
      <c r="F64" s="326"/>
      <c r="G64" s="326"/>
      <c r="J64" s="82">
        <v>2</v>
      </c>
      <c r="K64" s="50" t="s">
        <v>231</v>
      </c>
      <c r="L64" s="142" t="s">
        <v>230</v>
      </c>
      <c r="M64" s="50"/>
    </row>
    <row r="65" spans="1:13" ht="60.75">
      <c r="A65" s="324"/>
      <c r="B65" s="331"/>
      <c r="C65" s="84"/>
      <c r="D65" s="50"/>
      <c r="E65" s="338"/>
      <c r="F65" s="326"/>
      <c r="G65" s="326"/>
      <c r="J65" s="82">
        <v>3</v>
      </c>
      <c r="K65" s="50" t="s">
        <v>204</v>
      </c>
      <c r="L65" s="142" t="s">
        <v>230</v>
      </c>
      <c r="M65" s="50"/>
    </row>
    <row r="66" spans="1:13" ht="13.9" customHeight="1">
      <c r="A66" s="325"/>
      <c r="B66" s="332"/>
      <c r="C66" s="84">
        <v>2050000</v>
      </c>
      <c r="D66" s="50" t="s">
        <v>233</v>
      </c>
      <c r="E66" s="338"/>
      <c r="F66" s="326"/>
      <c r="G66" s="326"/>
      <c r="J66" s="82">
        <v>4</v>
      </c>
      <c r="K66" s="50" t="s">
        <v>24</v>
      </c>
      <c r="L66" s="142" t="s">
        <v>230</v>
      </c>
      <c r="M66" s="50"/>
    </row>
    <row r="67" spans="1:13" ht="60.75">
      <c r="A67" s="323">
        <v>3</v>
      </c>
      <c r="B67" s="330" t="s">
        <v>204</v>
      </c>
      <c r="C67" s="84">
        <v>1350000</v>
      </c>
      <c r="D67" s="50" t="s">
        <v>232</v>
      </c>
      <c r="E67" s="338"/>
      <c r="F67" s="326"/>
      <c r="G67" s="326"/>
      <c r="J67" s="82">
        <v>5</v>
      </c>
      <c r="K67" s="50" t="s">
        <v>206</v>
      </c>
      <c r="L67" s="142" t="s">
        <v>234</v>
      </c>
      <c r="M67" s="50"/>
    </row>
    <row r="68" spans="1:13" ht="13.9" customHeight="1">
      <c r="A68" s="325"/>
      <c r="B68" s="332"/>
      <c r="C68" s="84">
        <v>1650000</v>
      </c>
      <c r="D68" s="50" t="s">
        <v>233</v>
      </c>
      <c r="E68" s="338"/>
      <c r="F68" s="326"/>
      <c r="G68" s="326"/>
      <c r="J68" s="82">
        <v>6</v>
      </c>
      <c r="K68" s="50" t="s">
        <v>208</v>
      </c>
      <c r="L68" s="84"/>
      <c r="M68" s="50"/>
    </row>
    <row r="69" spans="1:13" ht="13.9" customHeight="1">
      <c r="A69" s="323">
        <v>3</v>
      </c>
      <c r="B69" s="330" t="s">
        <v>24</v>
      </c>
      <c r="C69" s="84">
        <v>1600000</v>
      </c>
      <c r="D69" s="50" t="s">
        <v>232</v>
      </c>
      <c r="E69" s="338"/>
      <c r="F69" s="326"/>
      <c r="G69" s="326"/>
      <c r="J69" s="82">
        <v>7</v>
      </c>
      <c r="K69" s="269" t="s">
        <v>51</v>
      </c>
      <c r="L69" s="84"/>
      <c r="M69" s="50"/>
    </row>
    <row r="70" spans="1:13" ht="13.9" customHeight="1">
      <c r="A70" s="325"/>
      <c r="B70" s="332"/>
      <c r="C70" s="84">
        <v>1800000</v>
      </c>
      <c r="D70" s="50" t="s">
        <v>233</v>
      </c>
      <c r="E70" s="338"/>
      <c r="F70" s="326"/>
      <c r="G70" s="326"/>
      <c r="J70" s="82">
        <v>8</v>
      </c>
      <c r="K70" s="269"/>
      <c r="L70" s="84"/>
      <c r="M70" s="50"/>
    </row>
    <row r="71" spans="1:13" ht="15" customHeight="1">
      <c r="A71" s="82">
        <v>4</v>
      </c>
      <c r="B71" s="330" t="s">
        <v>206</v>
      </c>
      <c r="C71" s="84">
        <v>2000000</v>
      </c>
      <c r="D71" s="50" t="s">
        <v>235</v>
      </c>
      <c r="E71" s="338"/>
      <c r="F71" s="326"/>
      <c r="G71" s="326"/>
      <c r="J71" s="323"/>
      <c r="K71" s="269" t="s">
        <v>198</v>
      </c>
      <c r="L71" s="329" t="s">
        <v>236</v>
      </c>
      <c r="M71" s="50"/>
    </row>
    <row r="72" spans="1:13" ht="15" customHeight="1">
      <c r="A72" s="86"/>
      <c r="B72" s="332"/>
      <c r="C72" s="84">
        <v>1800000</v>
      </c>
      <c r="D72" s="50" t="s">
        <v>211</v>
      </c>
      <c r="E72" s="338"/>
      <c r="F72" s="326"/>
      <c r="G72" s="326"/>
      <c r="J72" s="324"/>
      <c r="K72" s="269"/>
      <c r="L72" s="329"/>
      <c r="M72" s="50"/>
    </row>
    <row r="73" spans="1:13" ht="15" customHeight="1">
      <c r="A73" s="86">
        <v>5</v>
      </c>
      <c r="B73" s="87" t="s">
        <v>208</v>
      </c>
      <c r="C73" s="84">
        <v>3000000</v>
      </c>
      <c r="D73" s="50" t="s">
        <v>218</v>
      </c>
      <c r="E73" s="338"/>
      <c r="F73" s="326"/>
      <c r="G73" s="326"/>
      <c r="J73" s="324"/>
      <c r="K73" s="269"/>
      <c r="L73" s="329" t="s">
        <v>237</v>
      </c>
      <c r="M73" s="50"/>
    </row>
    <row r="74" spans="1:13" ht="15" customHeight="1">
      <c r="A74" s="333">
        <v>6</v>
      </c>
      <c r="B74" s="330" t="s">
        <v>51</v>
      </c>
      <c r="C74" s="84">
        <v>2500000</v>
      </c>
      <c r="D74" s="50" t="s">
        <v>209</v>
      </c>
      <c r="E74" s="338"/>
      <c r="F74" s="326"/>
      <c r="G74" s="326"/>
      <c r="J74" s="325"/>
      <c r="K74" s="269"/>
      <c r="L74" s="329"/>
      <c r="M74" s="50"/>
    </row>
    <row r="75" spans="1:13" ht="27" customHeight="1">
      <c r="A75" s="334"/>
      <c r="B75" s="331"/>
      <c r="C75" s="84">
        <v>2300000</v>
      </c>
      <c r="D75" s="50" t="s">
        <v>238</v>
      </c>
      <c r="E75" s="338"/>
      <c r="F75" s="326"/>
      <c r="G75" s="326"/>
    </row>
    <row r="76" spans="1:13" ht="13.9" customHeight="1">
      <c r="A76" s="335"/>
      <c r="B76" s="332"/>
      <c r="C76" s="84">
        <v>2625000</v>
      </c>
      <c r="D76" s="50" t="s">
        <v>239</v>
      </c>
      <c r="E76" s="338"/>
      <c r="F76" s="326"/>
      <c r="G76" s="326"/>
    </row>
    <row r="77" spans="1:13">
      <c r="A77" s="333">
        <v>7</v>
      </c>
      <c r="B77" s="330" t="s">
        <v>198</v>
      </c>
      <c r="C77" s="84">
        <v>3000000</v>
      </c>
      <c r="D77" s="50" t="s">
        <v>240</v>
      </c>
      <c r="E77" s="338"/>
      <c r="F77" s="326"/>
      <c r="G77" s="326"/>
    </row>
    <row r="78" spans="1:13">
      <c r="A78" s="334"/>
      <c r="B78" s="331"/>
      <c r="C78" s="84">
        <v>2500000</v>
      </c>
      <c r="D78" s="50" t="s">
        <v>211</v>
      </c>
      <c r="E78" s="338"/>
      <c r="F78" s="326"/>
      <c r="G78" s="326"/>
    </row>
    <row r="79" spans="1:13">
      <c r="A79" s="334"/>
      <c r="B79" s="331"/>
      <c r="C79" s="84">
        <v>1800000</v>
      </c>
      <c r="D79" s="50" t="s">
        <v>213</v>
      </c>
      <c r="E79" s="338"/>
      <c r="F79" s="326"/>
      <c r="G79" s="326"/>
    </row>
    <row r="80" spans="1:13">
      <c r="A80" s="335"/>
      <c r="B80" s="332"/>
      <c r="C80" s="84">
        <v>2500000</v>
      </c>
      <c r="D80" s="50" t="s">
        <v>215</v>
      </c>
      <c r="E80" s="338"/>
      <c r="F80" s="326"/>
      <c r="G80" s="326"/>
    </row>
    <row r="84" spans="1:4">
      <c r="B84" s="327" t="s">
        <v>241</v>
      </c>
      <c r="C84" s="327"/>
    </row>
    <row r="85" spans="1:4" ht="45.75">
      <c r="A85" s="50" t="s">
        <v>242</v>
      </c>
      <c r="B85" s="50" t="s">
        <v>243</v>
      </c>
      <c r="C85" s="50" t="s">
        <v>244</v>
      </c>
      <c r="D85" s="50" t="s">
        <v>245</v>
      </c>
    </row>
    <row r="86" spans="1:4">
      <c r="A86" s="330" t="s">
        <v>50</v>
      </c>
      <c r="B86" s="50" t="s">
        <v>246</v>
      </c>
      <c r="C86" s="50" t="s">
        <v>247</v>
      </c>
      <c r="D86" s="330" t="s">
        <v>248</v>
      </c>
    </row>
    <row r="87" spans="1:4">
      <c r="A87" s="331"/>
      <c r="B87" s="50" t="s">
        <v>249</v>
      </c>
      <c r="C87" s="50" t="s">
        <v>250</v>
      </c>
      <c r="D87" s="331"/>
    </row>
    <row r="88" spans="1:4">
      <c r="A88" s="331"/>
      <c r="B88" s="50" t="s">
        <v>251</v>
      </c>
      <c r="C88" s="50" t="s">
        <v>252</v>
      </c>
      <c r="D88" s="331"/>
    </row>
    <row r="89" spans="1:4">
      <c r="A89" s="332"/>
      <c r="B89" s="50" t="s">
        <v>253</v>
      </c>
      <c r="C89" s="50" t="s">
        <v>254</v>
      </c>
      <c r="D89" s="332"/>
    </row>
    <row r="90" spans="1:4" ht="41.45">
      <c r="A90" s="50" t="s">
        <v>255</v>
      </c>
      <c r="B90" s="50"/>
      <c r="C90" s="50" t="s">
        <v>256</v>
      </c>
      <c r="D90" s="50" t="s">
        <v>257</v>
      </c>
    </row>
  </sheetData>
  <mergeCells count="63">
    <mergeCell ref="L34:L35"/>
    <mergeCell ref="L36:L37"/>
    <mergeCell ref="L51:L52"/>
    <mergeCell ref="L53:L54"/>
    <mergeCell ref="L71:L72"/>
    <mergeCell ref="E63:E80"/>
    <mergeCell ref="F63:G80"/>
    <mergeCell ref="A64:A66"/>
    <mergeCell ref="B64:B66"/>
    <mergeCell ref="A69:A70"/>
    <mergeCell ref="B69:B70"/>
    <mergeCell ref="A77:A80"/>
    <mergeCell ref="B77:B80"/>
    <mergeCell ref="B67:B68"/>
    <mergeCell ref="A67:A68"/>
    <mergeCell ref="B71:B72"/>
    <mergeCell ref="A74:A76"/>
    <mergeCell ref="B74:B76"/>
    <mergeCell ref="A17:A18"/>
    <mergeCell ref="B17:B18"/>
    <mergeCell ref="E44:E56"/>
    <mergeCell ref="F44:G56"/>
    <mergeCell ref="A53:A56"/>
    <mergeCell ref="B53:B56"/>
    <mergeCell ref="B45:B46"/>
    <mergeCell ref="B47:B48"/>
    <mergeCell ref="B50:B51"/>
    <mergeCell ref="A45:A46"/>
    <mergeCell ref="A47:A48"/>
    <mergeCell ref="A50:A51"/>
    <mergeCell ref="E1:I1"/>
    <mergeCell ref="J1:Q1"/>
    <mergeCell ref="E27:E37"/>
    <mergeCell ref="F27:G37"/>
    <mergeCell ref="B32:B33"/>
    <mergeCell ref="A14:E16"/>
    <mergeCell ref="E17:E18"/>
    <mergeCell ref="J23:M25"/>
    <mergeCell ref="J32:J33"/>
    <mergeCell ref="K32:K33"/>
    <mergeCell ref="J34:J37"/>
    <mergeCell ref="K34:K37"/>
    <mergeCell ref="A32:A33"/>
    <mergeCell ref="F19:F20"/>
    <mergeCell ref="A23:D25"/>
    <mergeCell ref="C17:D17"/>
    <mergeCell ref="D86:D89"/>
    <mergeCell ref="A86:A89"/>
    <mergeCell ref="B84:C84"/>
    <mergeCell ref="B34:B37"/>
    <mergeCell ref="A34:A37"/>
    <mergeCell ref="A40:D42"/>
    <mergeCell ref="A59:D61"/>
    <mergeCell ref="K69:K70"/>
    <mergeCell ref="J71:J74"/>
    <mergeCell ref="K71:K74"/>
    <mergeCell ref="J40:M42"/>
    <mergeCell ref="J49:J50"/>
    <mergeCell ref="K49:K50"/>
    <mergeCell ref="J51:J54"/>
    <mergeCell ref="K51:K54"/>
    <mergeCell ref="J59:M61"/>
    <mergeCell ref="L73:L7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FB587ACBE4842A0FFB3DA72C43B8F" ma:contentTypeVersion="16" ma:contentTypeDescription="Create a new document." ma:contentTypeScope="" ma:versionID="338f09cd18776a8b31154edd83fa430e">
  <xsd:schema xmlns:xsd="http://www.w3.org/2001/XMLSchema" xmlns:xs="http://www.w3.org/2001/XMLSchema" xmlns:p="http://schemas.microsoft.com/office/2006/metadata/properties" xmlns:ns2="96f150f2-a6b5-4779-ac10-71e23226ba94" xmlns:ns3="b51ecae0-c6ab-4318-8087-bc30373d86da" targetNamespace="http://schemas.microsoft.com/office/2006/metadata/properties" ma:root="true" ma:fieldsID="ce22bddbcc2149cefb4deab91ad205de" ns2:_="" ns3:_="">
    <xsd:import namespace="96f150f2-a6b5-4779-ac10-71e23226ba94"/>
    <xsd:import namespace="b51ecae0-c6ab-4318-8087-bc30373d8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150f2-a6b5-4779-ac10-71e23226b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e14b47-9f23-4fc4-9fcf-462ad32a19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cae0-c6ab-4318-8087-bc30373d86d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5bdc25-9b70-4b0f-912a-2b6067cb5327}" ma:internalName="TaxCatchAll" ma:showField="CatchAllData" ma:web="b51ecae0-c6ab-4318-8087-bc30373d86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cae0-c6ab-4318-8087-bc30373d86da" xsi:nil="true"/>
    <lcf76f155ced4ddcb4097134ff3c332f xmlns="96f150f2-a6b5-4779-ac10-71e23226ba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F4668E-82F0-46D0-9F01-0F4A92C95FC0}"/>
</file>

<file path=customXml/itemProps2.xml><?xml version="1.0" encoding="utf-8"?>
<ds:datastoreItem xmlns:ds="http://schemas.openxmlformats.org/officeDocument/2006/customXml" ds:itemID="{DDF5DDDF-C648-41D5-A133-607A78FB8F4B}"/>
</file>

<file path=customXml/itemProps3.xml><?xml version="1.0" encoding="utf-8"?>
<ds:datastoreItem xmlns:ds="http://schemas.openxmlformats.org/officeDocument/2006/customXml" ds:itemID="{53F203EA-D41C-483B-9913-5DDE346AAC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Tho Tri Duc</dc:creator>
  <cp:keywords/>
  <dc:description/>
  <cp:lastModifiedBy>Thiem Trinh Van (TNPM-BKT CDDN)</cp:lastModifiedBy>
  <cp:revision/>
  <dcterms:created xsi:type="dcterms:W3CDTF">2015-06-05T18:17:20Z</dcterms:created>
  <dcterms:modified xsi:type="dcterms:W3CDTF">2026-04-24T02:48:05Z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0x010100523FB587ACBE4842A0FFB3DA72C43B8F</vt:lpwstr>
  </property>
  <property fmtid="{D5CDD505-2E9C-101B-9397-08002B2CF9AE}" pid="3" name="MediaServiceImageTags">
    <vt:lpwstr/>
  </property>
</Properties>
</file>