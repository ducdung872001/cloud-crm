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Tổng hợp căn cứ tính PDV cho KH\"/>
    </mc:Choice>
  </mc:AlternateContent>
  <xr:revisionPtr revIDLastSave="0" documentId="13_ncr:1_{2C43F148-8B29-469D-8C7E-2C34CFA6707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NO" sheetId="2" r:id="rId1"/>
    <sheet name="VPTTTM" sheetId="3" r:id="rId2"/>
    <sheet name="Nước" sheetId="5" r:id="rId3"/>
    <sheet name="KCT" sheetId="4" state="hidden" r:id="rId4"/>
  </sheets>
  <definedNames>
    <definedName name="_xlnm._FilterDatabase" localSheetId="0" hidden="1">KNO!$A$3:$S$14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5" l="1"/>
  <c r="K11" i="5"/>
  <c r="J10" i="5"/>
  <c r="O10" i="5"/>
  <c r="N10" i="5"/>
  <c r="N9" i="5"/>
  <c r="O9" i="5" s="1"/>
  <c r="K8" i="5"/>
  <c r="N8" i="5" s="1"/>
  <c r="O8" i="5" l="1"/>
  <c r="J7" i="5" l="1"/>
  <c r="K6" i="5"/>
  <c r="N6" i="5" s="1"/>
  <c r="O6" i="5" s="1"/>
  <c r="K7" i="5" l="1"/>
  <c r="S8" i="3"/>
  <c r="T8" i="3" s="1"/>
  <c r="T6" i="3"/>
  <c r="T9" i="3"/>
  <c r="T12" i="3"/>
  <c r="T13" i="3"/>
  <c r="T14" i="3"/>
  <c r="T22" i="3"/>
  <c r="T23" i="3"/>
  <c r="T24" i="3"/>
  <c r="S7" i="3"/>
  <c r="T7" i="3" s="1"/>
  <c r="S9" i="3"/>
  <c r="S10" i="3"/>
  <c r="S11" i="3"/>
  <c r="S12" i="3"/>
  <c r="S13" i="3"/>
  <c r="S14" i="3"/>
  <c r="S15" i="3"/>
  <c r="S16" i="3"/>
  <c r="S17" i="3"/>
  <c r="T17" i="3" s="1"/>
  <c r="S18" i="3"/>
  <c r="T18" i="3" s="1"/>
  <c r="S19" i="3"/>
  <c r="T19" i="3" s="1"/>
  <c r="S20" i="3"/>
  <c r="S21" i="3"/>
  <c r="S22" i="3"/>
  <c r="S23" i="3"/>
  <c r="S24" i="3"/>
  <c r="S25" i="3"/>
  <c r="S26" i="3"/>
  <c r="S4" i="3"/>
  <c r="K3" i="5"/>
  <c r="N3" i="5" s="1"/>
  <c r="O3" i="5" s="1"/>
  <c r="F6" i="5"/>
  <c r="H6" i="5"/>
  <c r="N7" i="5" l="1"/>
  <c r="O7" i="5" s="1"/>
  <c r="F5" i="5"/>
  <c r="H5" i="5" s="1"/>
  <c r="F4" i="5"/>
  <c r="H4" i="5" s="1"/>
  <c r="F3" i="5"/>
  <c r="H3" i="5" s="1"/>
  <c r="K4" i="5"/>
  <c r="K5" i="5"/>
  <c r="N5" i="5" l="1"/>
  <c r="O5" i="5" s="1"/>
  <c r="N4" i="5"/>
  <c r="O4" i="5" s="1"/>
  <c r="F7" i="5"/>
  <c r="H7" i="5" s="1"/>
  <c r="O5" i="3"/>
  <c r="P5" i="3" s="1"/>
  <c r="N5" i="3"/>
  <c r="S5" i="3" s="1"/>
  <c r="T5" i="3" l="1"/>
  <c r="L5" i="3"/>
  <c r="P6" i="3"/>
  <c r="O26" i="3"/>
  <c r="O25" i="3"/>
  <c r="O21" i="3"/>
  <c r="O20" i="3"/>
  <c r="O16" i="3"/>
  <c r="P16" i="3" l="1"/>
  <c r="T16" i="3"/>
  <c r="P20" i="3"/>
  <c r="T20" i="3"/>
  <c r="P21" i="3"/>
  <c r="T21" i="3"/>
  <c r="P25" i="3"/>
  <c r="T25" i="3"/>
  <c r="P26" i="3"/>
  <c r="T26" i="3"/>
  <c r="O15" i="3"/>
  <c r="O11" i="3"/>
  <c r="O10" i="3"/>
  <c r="K8" i="3"/>
  <c r="O4" i="3"/>
  <c r="P4" i="3" l="1"/>
  <c r="T4" i="3"/>
  <c r="P11" i="3"/>
  <c r="T11" i="3"/>
  <c r="P15" i="3"/>
  <c r="T15" i="3"/>
  <c r="P10" i="3"/>
  <c r="T10" i="3"/>
  <c r="O6" i="2"/>
  <c r="O5" i="2"/>
  <c r="P13" i="2"/>
  <c r="P12" i="2"/>
  <c r="P11" i="2"/>
  <c r="P9" i="2"/>
  <c r="P8" i="2"/>
  <c r="P7" i="2"/>
  <c r="J4" i="2"/>
  <c r="K4" i="2"/>
  <c r="J5" i="2"/>
  <c r="K5" i="2" s="1"/>
  <c r="L5" i="2" s="1"/>
  <c r="J6" i="2"/>
  <c r="K6" i="2"/>
  <c r="K7" i="2"/>
  <c r="L7" i="2" s="1"/>
  <c r="K8" i="2"/>
  <c r="L8" i="2" s="1"/>
  <c r="K9" i="2"/>
  <c r="L9" i="2" s="1"/>
  <c r="J10" i="2"/>
  <c r="K10" i="2" s="1"/>
  <c r="L10" i="2" s="1"/>
  <c r="K11" i="2"/>
  <c r="L11" i="2" s="1"/>
  <c r="K12" i="2"/>
  <c r="K13" i="2"/>
  <c r="J14" i="2"/>
  <c r="K14" i="2" s="1"/>
  <c r="H4" i="2"/>
  <c r="H5" i="2"/>
  <c r="H6" i="2"/>
  <c r="H7" i="2"/>
  <c r="H8" i="2"/>
  <c r="H9" i="2"/>
  <c r="H10" i="2"/>
  <c r="H11" i="2"/>
  <c r="H12" i="2"/>
  <c r="H13" i="2"/>
  <c r="H14" i="2"/>
  <c r="J4" i="3"/>
  <c r="L8" i="3"/>
  <c r="J15" i="4"/>
  <c r="H15" i="4"/>
  <c r="J14" i="4"/>
  <c r="H14" i="4"/>
  <c r="J13" i="4"/>
  <c r="H13" i="4"/>
  <c r="J12" i="4"/>
  <c r="H12" i="4"/>
  <c r="K11" i="4"/>
  <c r="J11" i="4"/>
  <c r="L11" i="4" s="1"/>
  <c r="H11" i="4"/>
  <c r="K10" i="4"/>
  <c r="J10" i="4"/>
  <c r="L10" i="4" s="1"/>
  <c r="H10" i="4"/>
  <c r="K9" i="4"/>
  <c r="J9" i="4"/>
  <c r="L9" i="4" s="1"/>
  <c r="H9" i="4"/>
  <c r="K8" i="4"/>
  <c r="J8" i="4"/>
  <c r="L8" i="4" s="1"/>
  <c r="H8" i="4"/>
  <c r="J7" i="4"/>
  <c r="K7" i="4" s="1"/>
  <c r="L7" i="4" s="1"/>
  <c r="H7" i="4"/>
  <c r="J6" i="4"/>
  <c r="K6" i="4" s="1"/>
  <c r="H6" i="4"/>
  <c r="J5" i="4"/>
  <c r="H5" i="4"/>
  <c r="J4" i="4"/>
  <c r="H4" i="4"/>
  <c r="K26" i="3"/>
  <c r="J26" i="3"/>
  <c r="H26" i="3"/>
  <c r="K25" i="3"/>
  <c r="J25" i="3"/>
  <c r="H25" i="3"/>
  <c r="K24" i="3"/>
  <c r="L24" i="3" s="1"/>
  <c r="I24" i="3"/>
  <c r="H24" i="3"/>
  <c r="K23" i="3"/>
  <c r="L23" i="3" s="1"/>
  <c r="I23" i="3"/>
  <c r="H23" i="3"/>
  <c r="K22" i="3"/>
  <c r="L22" i="3" s="1"/>
  <c r="I22" i="3"/>
  <c r="H22" i="3"/>
  <c r="K21" i="3"/>
  <c r="J21" i="3"/>
  <c r="H21" i="3"/>
  <c r="K20" i="3"/>
  <c r="J20" i="3"/>
  <c r="H20" i="3"/>
  <c r="K19" i="3"/>
  <c r="L19" i="3" s="1"/>
  <c r="I19" i="3"/>
  <c r="H19" i="3"/>
  <c r="K18" i="3"/>
  <c r="L18" i="3" s="1"/>
  <c r="I18" i="3"/>
  <c r="H18" i="3"/>
  <c r="K17" i="3"/>
  <c r="L17" i="3" s="1"/>
  <c r="I17" i="3"/>
  <c r="H17" i="3"/>
  <c r="K16" i="3"/>
  <c r="J16" i="3"/>
  <c r="H16" i="3"/>
  <c r="K15" i="3"/>
  <c r="J15" i="3"/>
  <c r="H15" i="3"/>
  <c r="K14" i="3"/>
  <c r="L14" i="3" s="1"/>
  <c r="I14" i="3"/>
  <c r="H14" i="3"/>
  <c r="K13" i="3"/>
  <c r="L13" i="3" s="1"/>
  <c r="I13" i="3"/>
  <c r="H13" i="3"/>
  <c r="K12" i="3"/>
  <c r="L12" i="3" s="1"/>
  <c r="I12" i="3"/>
  <c r="H12" i="3"/>
  <c r="K11" i="3"/>
  <c r="J11" i="3"/>
  <c r="H11" i="3"/>
  <c r="K10" i="3"/>
  <c r="J10" i="3"/>
  <c r="H10" i="3"/>
  <c r="K9" i="3"/>
  <c r="L9" i="3" s="1"/>
  <c r="I9" i="3"/>
  <c r="H9" i="3"/>
  <c r="I8" i="3"/>
  <c r="H8" i="3"/>
  <c r="K7" i="3"/>
  <c r="L7" i="3" s="1"/>
  <c r="I7" i="3"/>
  <c r="H7" i="3"/>
  <c r="K4" i="3"/>
  <c r="H4" i="3"/>
  <c r="L13" i="2"/>
  <c r="L12" i="2"/>
  <c r="N10" i="4" l="1"/>
  <c r="L6" i="4"/>
  <c r="N7" i="4"/>
  <c r="N6" i="4"/>
  <c r="N11" i="4"/>
  <c r="L11" i="3"/>
  <c r="L15" i="3"/>
  <c r="L26" i="3"/>
  <c r="L25" i="3"/>
  <c r="L16" i="3"/>
  <c r="L20" i="3"/>
  <c r="L10" i="3"/>
  <c r="L21" i="3"/>
  <c r="L4" i="3"/>
  <c r="P5" i="2"/>
  <c r="P10" i="2"/>
  <c r="L4" i="2"/>
  <c r="L6" i="2"/>
  <c r="L14" i="2"/>
  <c r="N8" i="4"/>
  <c r="N9" i="4"/>
  <c r="K4" i="4"/>
  <c r="L4" i="4" s="1"/>
  <c r="N4" i="4" s="1"/>
  <c r="K12" i="4"/>
  <c r="L12" i="4" s="1"/>
  <c r="N12" i="4" s="1"/>
  <c r="K14" i="4"/>
  <c r="L14" i="4" s="1"/>
  <c r="K13" i="4"/>
  <c r="L13" i="4" s="1"/>
  <c r="K15" i="4"/>
  <c r="L15" i="4" s="1"/>
  <c r="K5" i="4"/>
  <c r="L5" i="4" s="1"/>
  <c r="N5" i="4" s="1"/>
  <c r="P14" i="2" l="1"/>
  <c r="P6" i="2" l="1"/>
</calcChain>
</file>

<file path=xl/sharedStrings.xml><?xml version="1.0" encoding="utf-8"?>
<sst xmlns="http://schemas.openxmlformats.org/spreadsheetml/2006/main" count="267" uniqueCount="94">
  <si>
    <t>TT</t>
  </si>
  <si>
    <t>TTTM/ VP</t>
  </si>
  <si>
    <t>Đơn vị xuất hóa đơn</t>
  </si>
  <si>
    <t>Gian hàng</t>
  </si>
  <si>
    <t>Phân loại</t>
  </si>
  <si>
    <t>Đơn giá trước ngày 10/05/2025 (Đơn giá chưa bao gồm VAT)</t>
  </si>
  <si>
    <t>Đơn giá từ ngày 10/05/2025 (Đơn giá chưa bao gồm VAT)</t>
  </si>
  <si>
    <t>Ghi chú 
(Đơn giá theo quy định)</t>
  </si>
  <si>
    <t>Đơn giá theo quy định (VNĐ)</t>
  </si>
  <si>
    <t>Hao tổn (VNĐ/KW)</t>
  </si>
  <si>
    <t>Tổng đơn giá (VNĐ)</t>
  </si>
  <si>
    <t>% điều chỉnh (VNĐ/KW)</t>
  </si>
  <si>
    <t>KNO Thái Hòa</t>
  </si>
  <si>
    <t>TNPM</t>
  </si>
  <si>
    <t>Tất cả các căn hộ Khu đô thị Long Sơn 2</t>
  </si>
  <si>
    <t>Đơn giá áp dụng</t>
  </si>
  <si>
    <t>Tăng theo tỷ lệ 4.8%</t>
  </si>
  <si>
    <t>Áp dụng cho đối tượng dùng kinh doanh tại KĐT Long Sơn 2</t>
  </si>
  <si>
    <t>Tất cả các căn hộ Khuđô thị Long Sơn 4</t>
  </si>
  <si>
    <t>Giờ thấp điểm</t>
  </si>
  <si>
    <t>Giờ bình thường</t>
  </si>
  <si>
    <t>Giờ cao điểm</t>
  </si>
  <si>
    <t>Đơn giá điện lực mục 3.3</t>
  </si>
  <si>
    <t>KNO Nam Sách</t>
  </si>
  <si>
    <t>Tất cả các khách hàng kinh doanh tại Kiot Chợ Nam Sách</t>
  </si>
  <si>
    <t>Khu đô thị Long Sơn 1
KNO Thái Hòa</t>
  </si>
  <si>
    <t>Đơn giá giờ Cao điểm</t>
  </si>
  <si>
    <t>Đơn giá điện lực mục 3.1</t>
  </si>
  <si>
    <t xml:space="preserve">
Đơn giá giờ Bình thường
</t>
  </si>
  <si>
    <t>Đơn giá giờ Thấp điểm</t>
  </si>
  <si>
    <t>Ghi chú</t>
  </si>
  <si>
    <t>Tất cả các gian hàng</t>
  </si>
  <si>
    <t>TGV</t>
  </si>
  <si>
    <t>GSS</t>
  </si>
  <si>
    <t>Khách hàng đặc thù (Trường học)</t>
  </si>
  <si>
    <t>Điện bảng biển quảng cáo và mộtsố gian hàng</t>
  </si>
  <si>
    <t>GMC</t>
  </si>
  <si>
    <t>GSC</t>
  </si>
  <si>
    <t>Các KH lớn (Siêu thị, LX, Amis, PHD, Hanosimex)</t>
  </si>
  <si>
    <t>GH nhỏ (Hoa quả và Hiệu Thuốc)</t>
  </si>
  <si>
    <t>BTT</t>
  </si>
  <si>
    <t>Tất cả các gian hàng khác (trừ Co.op Mart và Vinfast)</t>
  </si>
  <si>
    <t>Điện bảng biển quảng cáo</t>
  </si>
  <si>
    <t>Điện một số gian hàng công và khách lẻ</t>
  </si>
  <si>
    <t>GMCS</t>
  </si>
  <si>
    <t>Dành cho KH (dùng công tơ 3 pha 3 giá)</t>
  </si>
  <si>
    <t>Dành cho Viễn Tin</t>
  </si>
  <si>
    <t>Đơn giá áp dụng (theo tờ trìnhsố 10/2019/TT-KD-MKT)</t>
  </si>
  <si>
    <t>Đơn giá áp dụng (công tơ 1 giá)</t>
  </si>
  <si>
    <t>Viễn Tin</t>
  </si>
  <si>
    <t>Đơn giá áp dụng(công tơ 1 giá)</t>
  </si>
  <si>
    <t>VTV Cáp</t>
  </si>
  <si>
    <t>Hòa Bình</t>
  </si>
  <si>
    <t>Lacasta</t>
  </si>
  <si>
    <t>LTE</t>
  </si>
  <si>
    <t>Phòng SHCĐ</t>
  </si>
  <si>
    <t>Bể bơi</t>
  </si>
  <si>
    <t>Điện bảng biển quảng cáo và một số gian hàng, khu vực sạc xe ô tô điện (dùng công tơ 1 giá)</t>
  </si>
  <si>
    <t>Đơn giá phân tách từ tháng 01/2026</t>
  </si>
  <si>
    <t>Thuế suất đơn giá điện áp dụng</t>
  </si>
  <si>
    <t>Thuế suất phí hao tổn áp dụng</t>
  </si>
  <si>
    <t>lũy tiến</t>
  </si>
  <si>
    <t>8% theo tờ trình 15/11/2025</t>
  </si>
  <si>
    <t>Tờ trình 15/11/2025</t>
  </si>
  <si>
    <t>Điện điều hòa ngoài giờ</t>
  </si>
  <si>
    <t xml:space="preserve">Phí dịch vụ vận hành điều hòa ngoài giờ </t>
  </si>
  <si>
    <t>Thuế suất phí hao tổn/ phí dịch vụ áp dụng</t>
  </si>
  <si>
    <t xml:space="preserve">1. Đơn giá Nước </t>
  </si>
  <si>
    <t>Dự án</t>
  </si>
  <si>
    <t>Mã SP</t>
  </si>
  <si>
    <t>Chỉ tiêu</t>
  </si>
  <si>
    <t>Đơn vị tính</t>
  </si>
  <si>
    <t xml:space="preserve">Đơn giá theo quy định </t>
  </si>
  <si>
    <t>Hao tổn 10% ( Nước +PBVMT)</t>
  </si>
  <si>
    <t>Thuế suất tiền nước</t>
  </si>
  <si>
    <t>Thuế suất phí Hao tổn</t>
  </si>
  <si>
    <t>NUOC</t>
  </si>
  <si>
    <t>Tiền nước</t>
  </si>
  <si>
    <t>m3</t>
  </si>
  <si>
    <t>Phí bảo vệ MT</t>
  </si>
  <si>
    <t>phí BVMT 30%</t>
  </si>
  <si>
    <t>Trước 2026</t>
  </si>
  <si>
    <t>Bóc tách từ tháng 01/2026</t>
  </si>
  <si>
    <t>Đơn giá đã gồm hao tổn</t>
  </si>
  <si>
    <t>Thuế suất</t>
  </si>
  <si>
    <t>Môi trường rừng</t>
  </si>
  <si>
    <t>Tổng đơn giá trước VAT/m2 nước</t>
  </si>
  <si>
    <t>Hao tổn 10% (VNĐ/KW)</t>
  </si>
  <si>
    <t>GMCC</t>
  </si>
  <si>
    <t>LIM</t>
  </si>
  <si>
    <t>NCT</t>
  </si>
  <si>
    <t>Phí DV Thoát nước</t>
  </si>
  <si>
    <t>21300 là đơn giá theo QĐ</t>
  </si>
  <si>
    <t>DV thoát nước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</si>
</sst>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4">
    <font>
      <sz val="11"/>
      <color theme="1"/>
      <name val="Calibri"/>
      <charset val="134"/>
      <scheme val="minor"/>
    </font>
    <font>
      <b/>
      <sz val="9"/>
      <color rgb="FF000000"/>
      <name val="Arial"/>
      <family val="2"/>
    </font>
    <font>
      <sz val="8.5"/>
      <color theme="1"/>
      <name val="Arial"/>
      <family val="2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Arial"/>
      <family val="2"/>
    </font>
    <font>
      <b/>
      <sz val="8.5"/>
      <color rgb="FF000000"/>
      <name val="Arial"/>
      <family val="2"/>
    </font>
    <font>
      <sz val="11"/>
      <color theme="1"/>
      <name val="Calibri"/>
      <family val="2"/>
      <scheme val="minor"/>
    </font>
    <font>
      <sz val="8.5"/>
      <color rgb="FFFF0000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AE2D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1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0" fillId="0" borderId="2" xfId="0" applyBorder="1" applyAlignment="1">
      <alignment vertical="top" wrapText="1"/>
    </xf>
    <xf numFmtId="164" fontId="2" fillId="0" borderId="2" xfId="0" applyNumberFormat="1" applyFont="1" applyBorder="1" applyAlignment="1">
      <alignment horizontal="right" vertical="center" wrapText="1"/>
    </xf>
    <xf numFmtId="165" fontId="5" fillId="0" borderId="2" xfId="1" applyNumberFormat="1" applyFont="1" applyBorder="1" applyAlignment="1">
      <alignment vertical="center" wrapText="1"/>
    </xf>
    <xf numFmtId="43" fontId="0" fillId="0" borderId="0" xfId="1" applyFont="1"/>
    <xf numFmtId="43" fontId="0" fillId="0" borderId="0" xfId="1" applyFont="1" applyFill="1"/>
    <xf numFmtId="164" fontId="0" fillId="0" borderId="0" xfId="2" applyNumberFormat="1" applyFont="1"/>
    <xf numFmtId="0" fontId="5" fillId="0" borderId="2" xfId="0" applyFont="1" applyBorder="1" applyAlignment="1">
      <alignment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1" applyNumberFormat="1" applyFont="1"/>
    <xf numFmtId="165" fontId="0" fillId="0" borderId="0" xfId="1" applyNumberFormat="1" applyFont="1" applyAlignment="1">
      <alignment horizontal="left"/>
    </xf>
    <xf numFmtId="165" fontId="6" fillId="2" borderId="2" xfId="1" applyNumberFormat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65" fontId="2" fillId="0" borderId="2" xfId="1" applyNumberFormat="1" applyFont="1" applyFill="1" applyBorder="1" applyAlignment="1">
      <alignment horizontal="right" vertical="center" wrapText="1"/>
    </xf>
    <xf numFmtId="0" fontId="2" fillId="0" borderId="2" xfId="0" applyFont="1" applyBorder="1"/>
    <xf numFmtId="165" fontId="2" fillId="0" borderId="2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164" fontId="6" fillId="2" borderId="2" xfId="2" applyNumberFormat="1" applyFont="1" applyFill="1" applyBorder="1" applyAlignment="1">
      <alignment vertical="center" wrapText="1"/>
    </xf>
    <xf numFmtId="164" fontId="2" fillId="0" borderId="2" xfId="2" applyNumberFormat="1" applyFont="1" applyFill="1" applyBorder="1" applyAlignment="1">
      <alignment horizontal="right" vertical="center" wrapText="1"/>
    </xf>
    <xf numFmtId="164" fontId="2" fillId="0" borderId="2" xfId="2" applyNumberFormat="1" applyFont="1" applyFill="1" applyBorder="1"/>
    <xf numFmtId="0" fontId="2" fillId="3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9" fontId="2" fillId="0" borderId="2" xfId="2" applyFont="1" applyFill="1" applyBorder="1" applyAlignment="1">
      <alignment horizontal="right" vertical="center" wrapText="1"/>
    </xf>
    <xf numFmtId="165" fontId="2" fillId="0" borderId="2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165" fontId="2" fillId="4" borderId="2" xfId="1" applyNumberFormat="1" applyFont="1" applyFill="1" applyBorder="1" applyAlignment="1">
      <alignment horizontal="right" vertical="center" wrapText="1"/>
    </xf>
    <xf numFmtId="9" fontId="2" fillId="4" borderId="2" xfId="2" applyFont="1" applyFill="1" applyBorder="1" applyAlignment="1">
      <alignment horizontal="right" vertical="center" wrapText="1"/>
    </xf>
    <xf numFmtId="0" fontId="9" fillId="0" borderId="0" xfId="0" applyFont="1"/>
    <xf numFmtId="165" fontId="9" fillId="0" borderId="0" xfId="0" applyNumberFormat="1" applyFont="1"/>
    <xf numFmtId="164" fontId="1" fillId="2" borderId="2" xfId="2" applyNumberFormat="1" applyFont="1" applyFill="1" applyBorder="1" applyAlignment="1">
      <alignment horizontal="center" vertical="center" wrapText="1"/>
    </xf>
    <xf numFmtId="164" fontId="5" fillId="0" borderId="2" xfId="2" applyNumberFormat="1" applyFont="1" applyBorder="1" applyAlignment="1">
      <alignment horizontal="center" vertical="center" wrapText="1"/>
    </xf>
    <xf numFmtId="165" fontId="5" fillId="0" borderId="2" xfId="1" applyNumberFormat="1" applyFont="1" applyFill="1" applyBorder="1" applyAlignment="1">
      <alignment horizontal="center" vertical="center" wrapText="1"/>
    </xf>
    <xf numFmtId="165" fontId="5" fillId="4" borderId="2" xfId="1" applyNumberFormat="1" applyFont="1" applyFill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0" xfId="0" applyFont="1"/>
    <xf numFmtId="165" fontId="5" fillId="0" borderId="2" xfId="1" applyNumberFormat="1" applyFont="1" applyBorder="1" applyAlignment="1">
      <alignment horizontal="left" vertical="center"/>
    </xf>
    <xf numFmtId="9" fontId="5" fillId="0" borderId="2" xfId="2" applyFont="1" applyBorder="1" applyAlignment="1">
      <alignment horizontal="center" vertical="center" wrapText="1"/>
    </xf>
    <xf numFmtId="9" fontId="5" fillId="0" borderId="2" xfId="2" applyFont="1" applyBorder="1" applyAlignment="1">
      <alignment horizontal="center"/>
    </xf>
    <xf numFmtId="165" fontId="5" fillId="0" borderId="2" xfId="1" applyNumberFormat="1" applyFont="1" applyFill="1" applyBorder="1" applyAlignment="1">
      <alignment horizontal="left" vertical="center"/>
    </xf>
    <xf numFmtId="9" fontId="5" fillId="0" borderId="2" xfId="2" applyFont="1" applyFill="1" applyBorder="1" applyAlignment="1">
      <alignment horizontal="center" vertical="center" wrapText="1"/>
    </xf>
    <xf numFmtId="10" fontId="5" fillId="0" borderId="0" xfId="2" applyNumberFormat="1" applyFont="1"/>
    <xf numFmtId="164" fontId="5" fillId="0" borderId="0" xfId="2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0" fillId="0" borderId="2" xfId="0" applyFont="1" applyBorder="1" applyAlignment="1">
      <alignment horizontal="left" vertical="center" indent="1"/>
    </xf>
    <xf numFmtId="0" fontId="11" fillId="0" borderId="2" xfId="0" applyFont="1" applyBorder="1"/>
    <xf numFmtId="0" fontId="11" fillId="0" borderId="0" xfId="0" applyFont="1"/>
    <xf numFmtId="0" fontId="12" fillId="5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 wrapText="1"/>
    </xf>
    <xf numFmtId="165" fontId="13" fillId="0" borderId="2" xfId="1" applyNumberFormat="1" applyFont="1" applyBorder="1" applyAlignment="1">
      <alignment vertical="center"/>
    </xf>
    <xf numFmtId="9" fontId="13" fillId="0" borderId="2" xfId="0" applyNumberFormat="1" applyFont="1" applyBorder="1" applyAlignment="1">
      <alignment horizontal="right" vertical="center"/>
    </xf>
    <xf numFmtId="165" fontId="5" fillId="0" borderId="0" xfId="0" applyNumberFormat="1" applyFont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1" fillId="2" borderId="8" xfId="0" applyFont="1" applyFill="1" applyBorder="1" applyAlignment="1">
      <alignment horizontal="left" vertical="center" wrapText="1" indent="2"/>
    </xf>
    <xf numFmtId="0" fontId="1" fillId="2" borderId="9" xfId="0" applyFont="1" applyFill="1" applyBorder="1" applyAlignment="1">
      <alignment horizontal="left" vertical="center" wrapText="1" indent="2"/>
    </xf>
    <xf numFmtId="0" fontId="1" fillId="2" borderId="10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6"/>
    </xf>
    <xf numFmtId="0" fontId="6" fillId="2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9" fillId="0" borderId="0" xfId="0" applyFont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4"/>
  <sheetViews>
    <sheetView workbookViewId="0">
      <pane xSplit="4" ySplit="3" topLeftCell="E13" activePane="bottomRight" state="frozen"/>
      <selection pane="topRight" activeCell="E1" sqref="E1"/>
      <selection pane="bottomLeft" activeCell="A4" sqref="A4"/>
      <selection pane="bottomRight" sqref="A1:R14"/>
    </sheetView>
  </sheetViews>
  <sheetFormatPr defaultColWidth="9" defaultRowHeight="14.4" outlineLevelCol="1"/>
  <cols>
    <col min="1" max="1" width="4.44140625" customWidth="1"/>
    <col min="2" max="2" width="10.5546875" style="19" customWidth="1"/>
    <col min="3" max="3" width="7.109375" style="20" customWidth="1"/>
    <col min="4" max="4" width="20.88671875" style="21" customWidth="1"/>
    <col min="5" max="5" width="15.88671875" customWidth="1"/>
    <col min="6" max="8" width="13.88671875" style="22" hidden="1" customWidth="1" outlineLevel="1"/>
    <col min="9" max="9" width="10.44140625" style="15" customWidth="1" collapsed="1"/>
    <col min="10" max="10" width="10.44140625" style="22" customWidth="1"/>
    <col min="11" max="11" width="8.5546875" style="22" customWidth="1"/>
    <col min="12" max="12" width="10.44140625" style="22" customWidth="1"/>
    <col min="13" max="13" width="12.5546875" style="23" customWidth="1"/>
    <col min="14" max="14" width="11.109375" style="22" customWidth="1"/>
    <col min="15" max="15" width="9.88671875" style="22" customWidth="1"/>
    <col min="16" max="17" width="11.109375" style="22" customWidth="1"/>
    <col min="18" max="18" width="12.88671875" style="22" customWidth="1"/>
    <col min="19" max="19" width="9.109375" customWidth="1"/>
  </cols>
  <sheetData>
    <row r="1" spans="1:18" ht="33" customHeight="1">
      <c r="A1" s="79" t="s">
        <v>0</v>
      </c>
      <c r="B1" s="88" t="s">
        <v>1</v>
      </c>
      <c r="C1" s="91" t="s">
        <v>2</v>
      </c>
      <c r="D1" s="88" t="s">
        <v>3</v>
      </c>
      <c r="E1" s="79" t="s">
        <v>4</v>
      </c>
      <c r="F1" s="81" t="s">
        <v>5</v>
      </c>
      <c r="G1" s="82"/>
      <c r="H1" s="83"/>
      <c r="I1" s="87" t="s">
        <v>6</v>
      </c>
      <c r="J1" s="87"/>
      <c r="K1" s="87"/>
      <c r="L1" s="87"/>
      <c r="M1" s="80" t="s">
        <v>7</v>
      </c>
      <c r="N1" s="72" t="s">
        <v>58</v>
      </c>
      <c r="O1" s="73"/>
      <c r="P1" s="73"/>
      <c r="Q1" s="73"/>
      <c r="R1" s="74"/>
    </row>
    <row r="2" spans="1:18">
      <c r="A2" s="79"/>
      <c r="B2" s="88"/>
      <c r="C2" s="92"/>
      <c r="D2" s="88"/>
      <c r="E2" s="79"/>
      <c r="F2" s="84"/>
      <c r="G2" s="85"/>
      <c r="H2" s="86"/>
      <c r="I2" s="87"/>
      <c r="J2" s="87"/>
      <c r="K2" s="87"/>
      <c r="L2" s="87"/>
      <c r="M2" s="80"/>
      <c r="N2" s="75"/>
      <c r="O2" s="76"/>
      <c r="P2" s="76"/>
      <c r="Q2" s="77"/>
      <c r="R2" s="78"/>
    </row>
    <row r="3" spans="1:18" ht="48" customHeight="1">
      <c r="A3" s="79"/>
      <c r="B3" s="88"/>
      <c r="C3" s="93"/>
      <c r="D3" s="88"/>
      <c r="E3" s="79"/>
      <c r="F3" s="24" t="s">
        <v>8</v>
      </c>
      <c r="G3" s="25" t="s">
        <v>9</v>
      </c>
      <c r="H3" s="25" t="s">
        <v>10</v>
      </c>
      <c r="I3" s="31" t="s">
        <v>11</v>
      </c>
      <c r="J3" s="24" t="s">
        <v>8</v>
      </c>
      <c r="K3" s="25" t="s">
        <v>87</v>
      </c>
      <c r="L3" s="25" t="s">
        <v>10</v>
      </c>
      <c r="M3" s="80"/>
      <c r="N3" s="24" t="s">
        <v>8</v>
      </c>
      <c r="O3" s="25" t="s">
        <v>87</v>
      </c>
      <c r="P3" s="25" t="s">
        <v>10</v>
      </c>
      <c r="Q3" s="2" t="s">
        <v>59</v>
      </c>
      <c r="R3" s="2" t="s">
        <v>60</v>
      </c>
    </row>
    <row r="4" spans="1:18" ht="32.4">
      <c r="A4" s="101">
        <v>1</v>
      </c>
      <c r="B4" s="90" t="s">
        <v>12</v>
      </c>
      <c r="C4" s="8" t="s">
        <v>13</v>
      </c>
      <c r="D4" s="26" t="s">
        <v>14</v>
      </c>
      <c r="E4" s="34" t="s">
        <v>15</v>
      </c>
      <c r="F4" s="27">
        <v>2583</v>
      </c>
      <c r="G4" s="27">
        <v>0</v>
      </c>
      <c r="H4" s="27">
        <f>+F4+G4</f>
        <v>2583</v>
      </c>
      <c r="I4" s="32">
        <v>4.8000000000000001E-2</v>
      </c>
      <c r="J4" s="39">
        <f>+ROUND(F4*I4,0)+F4</f>
        <v>2707</v>
      </c>
      <c r="K4" s="39">
        <f>+ROUND(G4*I4,0)+G4</f>
        <v>0</v>
      </c>
      <c r="L4" s="39">
        <f>+J4+K4</f>
        <v>2707</v>
      </c>
      <c r="M4" s="37" t="s">
        <v>16</v>
      </c>
      <c r="N4" s="39" t="s">
        <v>61</v>
      </c>
      <c r="O4" s="39" t="s">
        <v>62</v>
      </c>
      <c r="P4" s="39" t="s">
        <v>63</v>
      </c>
      <c r="Q4" s="40">
        <v>0.08</v>
      </c>
      <c r="R4" s="40">
        <v>0.1</v>
      </c>
    </row>
    <row r="5" spans="1:18" ht="32.4">
      <c r="A5" s="101"/>
      <c r="B5" s="90"/>
      <c r="C5" s="8" t="s">
        <v>13</v>
      </c>
      <c r="D5" s="35" t="s">
        <v>17</v>
      </c>
      <c r="E5" s="34" t="s">
        <v>15</v>
      </c>
      <c r="F5" s="27">
        <v>3302</v>
      </c>
      <c r="G5" s="27">
        <v>330</v>
      </c>
      <c r="H5" s="27">
        <f t="shared" ref="H5:H14" si="0">+F5+G5</f>
        <v>3632</v>
      </c>
      <c r="I5" s="32">
        <v>4.8000000000000001E-2</v>
      </c>
      <c r="J5" s="27">
        <f>+ROUND(F5*I5,0)+F5</f>
        <v>3460</v>
      </c>
      <c r="K5" s="27">
        <f>+ROUND(J5*0.1,0)</f>
        <v>346</v>
      </c>
      <c r="L5" s="27">
        <f t="shared" ref="L5:L11" si="1">+J5+K5</f>
        <v>3806</v>
      </c>
      <c r="M5" s="37" t="s">
        <v>16</v>
      </c>
      <c r="N5" s="27">
        <v>3495.37037037037</v>
      </c>
      <c r="O5" s="27">
        <f>+ROUND(N5*0.08,0)</f>
        <v>280</v>
      </c>
      <c r="P5" s="27">
        <f t="shared" ref="P5:P14" si="2">+N5+O5</f>
        <v>3775.37037037037</v>
      </c>
      <c r="Q5" s="36">
        <v>0.08</v>
      </c>
      <c r="R5" s="36">
        <v>0.1</v>
      </c>
    </row>
    <row r="6" spans="1:18" ht="21.6">
      <c r="A6" s="101"/>
      <c r="B6" s="90"/>
      <c r="C6" s="8" t="s">
        <v>13</v>
      </c>
      <c r="D6" s="26" t="s">
        <v>18</v>
      </c>
      <c r="E6" s="34" t="s">
        <v>15</v>
      </c>
      <c r="F6" s="27">
        <v>3022</v>
      </c>
      <c r="G6" s="27">
        <v>0</v>
      </c>
      <c r="H6" s="27">
        <f t="shared" si="0"/>
        <v>3022</v>
      </c>
      <c r="I6" s="32">
        <v>4.8000000000000001E-2</v>
      </c>
      <c r="J6" s="39">
        <f>+ROUND(F6*I6,0)+F6</f>
        <v>3167</v>
      </c>
      <c r="K6" s="39">
        <f>+ROUND(G6*I6,0)+G6</f>
        <v>0</v>
      </c>
      <c r="L6" s="39">
        <f t="shared" si="1"/>
        <v>3167</v>
      </c>
      <c r="M6" s="37" t="s">
        <v>16</v>
      </c>
      <c r="N6" s="39">
        <v>2879.090909090909</v>
      </c>
      <c r="O6" s="39">
        <f>+ROUND(N6*0.1,0)</f>
        <v>288</v>
      </c>
      <c r="P6" s="39">
        <f t="shared" si="2"/>
        <v>3167.090909090909</v>
      </c>
      <c r="Q6" s="40">
        <v>0.08</v>
      </c>
      <c r="R6" s="40">
        <v>0.1</v>
      </c>
    </row>
    <row r="7" spans="1:18" ht="21.6">
      <c r="A7" s="101">
        <v>3</v>
      </c>
      <c r="B7" s="90" t="s">
        <v>23</v>
      </c>
      <c r="C7" s="94" t="s">
        <v>13</v>
      </c>
      <c r="D7" s="89" t="s">
        <v>24</v>
      </c>
      <c r="E7" s="3" t="s">
        <v>19</v>
      </c>
      <c r="F7" s="27">
        <v>1830</v>
      </c>
      <c r="G7" s="27">
        <v>183</v>
      </c>
      <c r="H7" s="27">
        <f t="shared" si="0"/>
        <v>2013</v>
      </c>
      <c r="I7" s="32">
        <v>4.8000000000000001E-2</v>
      </c>
      <c r="J7" s="27">
        <v>1918</v>
      </c>
      <c r="K7" s="27">
        <f t="shared" ref="K7:K10" si="3">+ROUND(J7*0.1,0)</f>
        <v>192</v>
      </c>
      <c r="L7" s="27">
        <f t="shared" si="1"/>
        <v>2110</v>
      </c>
      <c r="M7" s="37" t="s">
        <v>22</v>
      </c>
      <c r="N7" s="27">
        <v>1918</v>
      </c>
      <c r="O7" s="27">
        <v>192</v>
      </c>
      <c r="P7" s="27">
        <f t="shared" si="2"/>
        <v>2110</v>
      </c>
      <c r="Q7" s="36">
        <v>0.08</v>
      </c>
      <c r="R7" s="36">
        <v>0.1</v>
      </c>
    </row>
    <row r="8" spans="1:18" ht="21.6">
      <c r="A8" s="101"/>
      <c r="B8" s="90"/>
      <c r="C8" s="95"/>
      <c r="D8" s="89"/>
      <c r="E8" s="3" t="s">
        <v>20</v>
      </c>
      <c r="F8" s="27">
        <v>3007</v>
      </c>
      <c r="G8" s="27">
        <v>301</v>
      </c>
      <c r="H8" s="27">
        <f t="shared" si="0"/>
        <v>3308</v>
      </c>
      <c r="I8" s="32">
        <v>4.8000000000000001E-2</v>
      </c>
      <c r="J8" s="27">
        <v>3152</v>
      </c>
      <c r="K8" s="27">
        <f t="shared" si="3"/>
        <v>315</v>
      </c>
      <c r="L8" s="27">
        <f t="shared" si="1"/>
        <v>3467</v>
      </c>
      <c r="M8" s="37" t="s">
        <v>22</v>
      </c>
      <c r="N8" s="27">
        <v>3152</v>
      </c>
      <c r="O8" s="27">
        <v>315</v>
      </c>
      <c r="P8" s="27">
        <f t="shared" si="2"/>
        <v>3467</v>
      </c>
      <c r="Q8" s="36">
        <v>0.08</v>
      </c>
      <c r="R8" s="36">
        <v>0.1</v>
      </c>
    </row>
    <row r="9" spans="1:18" ht="21.6">
      <c r="A9" s="101"/>
      <c r="B9" s="90"/>
      <c r="C9" s="95"/>
      <c r="D9" s="89"/>
      <c r="E9" s="3" t="s">
        <v>21</v>
      </c>
      <c r="F9" s="27">
        <v>5174</v>
      </c>
      <c r="G9" s="27">
        <v>517</v>
      </c>
      <c r="H9" s="27">
        <f t="shared" si="0"/>
        <v>5691</v>
      </c>
      <c r="I9" s="32">
        <v>4.8000000000000001E-2</v>
      </c>
      <c r="J9" s="27">
        <v>5422</v>
      </c>
      <c r="K9" s="27">
        <f t="shared" si="3"/>
        <v>542</v>
      </c>
      <c r="L9" s="27">
        <f t="shared" si="1"/>
        <v>5964</v>
      </c>
      <c r="M9" s="37" t="s">
        <v>22</v>
      </c>
      <c r="N9" s="27">
        <v>5422</v>
      </c>
      <c r="O9" s="27">
        <v>542</v>
      </c>
      <c r="P9" s="27">
        <f t="shared" si="2"/>
        <v>5964</v>
      </c>
      <c r="Q9" s="36">
        <v>0.08</v>
      </c>
      <c r="R9" s="36">
        <v>0.1</v>
      </c>
    </row>
    <row r="10" spans="1:18" ht="21.6">
      <c r="A10" s="101"/>
      <c r="B10" s="90"/>
      <c r="C10" s="96"/>
      <c r="D10" s="89"/>
      <c r="E10" s="34" t="s">
        <v>15</v>
      </c>
      <c r="F10" s="27">
        <v>3337</v>
      </c>
      <c r="G10" s="27">
        <v>334</v>
      </c>
      <c r="H10" s="27">
        <f t="shared" si="0"/>
        <v>3671</v>
      </c>
      <c r="I10" s="32">
        <v>4.8000000000000001E-2</v>
      </c>
      <c r="J10" s="27">
        <f>+ROUND(F10*I10,0)+F10</f>
        <v>3497</v>
      </c>
      <c r="K10" s="27">
        <f t="shared" si="3"/>
        <v>350</v>
      </c>
      <c r="L10" s="27">
        <f t="shared" si="1"/>
        <v>3847</v>
      </c>
      <c r="M10" s="37" t="s">
        <v>16</v>
      </c>
      <c r="N10" s="27">
        <v>3497</v>
      </c>
      <c r="O10" s="27">
        <v>350</v>
      </c>
      <c r="P10" s="27">
        <f t="shared" si="2"/>
        <v>3847</v>
      </c>
      <c r="Q10" s="36">
        <v>0.08</v>
      </c>
      <c r="R10" s="36">
        <v>0.1</v>
      </c>
    </row>
    <row r="11" spans="1:18" ht="21.6">
      <c r="A11" s="100">
        <v>8</v>
      </c>
      <c r="B11" s="90" t="s">
        <v>25</v>
      </c>
      <c r="C11" s="97" t="s">
        <v>13</v>
      </c>
      <c r="D11" s="90" t="s">
        <v>25</v>
      </c>
      <c r="E11" s="28" t="s">
        <v>26</v>
      </c>
      <c r="F11" s="29">
        <v>4795</v>
      </c>
      <c r="G11" s="29">
        <v>480</v>
      </c>
      <c r="H11" s="27">
        <f t="shared" si="0"/>
        <v>5275</v>
      </c>
      <c r="I11" s="33">
        <v>4.8087431693989102E-2</v>
      </c>
      <c r="J11" s="27">
        <v>5025</v>
      </c>
      <c r="K11" s="27">
        <f t="shared" ref="K11:K14" si="4">+ROUND(J11*0.1,0)</f>
        <v>503</v>
      </c>
      <c r="L11" s="27">
        <f t="shared" si="1"/>
        <v>5528</v>
      </c>
      <c r="M11" s="37" t="s">
        <v>27</v>
      </c>
      <c r="N11" s="27">
        <v>5025</v>
      </c>
      <c r="O11" s="27">
        <v>503</v>
      </c>
      <c r="P11" s="27">
        <f t="shared" si="2"/>
        <v>5528</v>
      </c>
      <c r="Q11" s="36">
        <v>0.08</v>
      </c>
      <c r="R11" s="36">
        <v>0.1</v>
      </c>
    </row>
    <row r="12" spans="1:18" ht="44.4">
      <c r="A12" s="100"/>
      <c r="B12" s="90"/>
      <c r="C12" s="98"/>
      <c r="D12" s="90"/>
      <c r="E12" s="30" t="s">
        <v>28</v>
      </c>
      <c r="F12" s="29">
        <v>2755</v>
      </c>
      <c r="G12" s="29">
        <v>276</v>
      </c>
      <c r="H12" s="27">
        <f t="shared" si="0"/>
        <v>3031</v>
      </c>
      <c r="I12" s="33">
        <v>4.7926968429060503E-2</v>
      </c>
      <c r="J12" s="27">
        <v>2887</v>
      </c>
      <c r="K12" s="27">
        <f t="shared" si="4"/>
        <v>289</v>
      </c>
      <c r="L12" s="27">
        <f t="shared" ref="L12:L14" si="5">+J12+K12</f>
        <v>3176</v>
      </c>
      <c r="M12" s="37" t="s">
        <v>27</v>
      </c>
      <c r="N12" s="27">
        <v>2887</v>
      </c>
      <c r="O12" s="27">
        <v>289</v>
      </c>
      <c r="P12" s="27">
        <f t="shared" si="2"/>
        <v>3176</v>
      </c>
      <c r="Q12" s="36">
        <v>0.08</v>
      </c>
      <c r="R12" s="36">
        <v>0.1</v>
      </c>
    </row>
    <row r="13" spans="1:18" ht="21.6">
      <c r="A13" s="100"/>
      <c r="B13" s="90"/>
      <c r="C13" s="98"/>
      <c r="D13" s="90"/>
      <c r="E13" s="28" t="s">
        <v>29</v>
      </c>
      <c r="F13" s="29">
        <v>1535</v>
      </c>
      <c r="G13" s="29">
        <v>154</v>
      </c>
      <c r="H13" s="27">
        <f t="shared" si="0"/>
        <v>1689</v>
      </c>
      <c r="I13" s="33">
        <v>4.7781569965870303E-2</v>
      </c>
      <c r="J13" s="27">
        <v>1609</v>
      </c>
      <c r="K13" s="27">
        <f t="shared" si="4"/>
        <v>161</v>
      </c>
      <c r="L13" s="27">
        <f t="shared" si="5"/>
        <v>1770</v>
      </c>
      <c r="M13" s="37" t="s">
        <v>27</v>
      </c>
      <c r="N13" s="27">
        <v>1609</v>
      </c>
      <c r="O13" s="27">
        <v>161</v>
      </c>
      <c r="P13" s="27">
        <f t="shared" si="2"/>
        <v>1770</v>
      </c>
      <c r="Q13" s="36">
        <v>0.08</v>
      </c>
      <c r="R13" s="36">
        <v>0.1</v>
      </c>
    </row>
    <row r="14" spans="1:18" ht="21.6">
      <c r="A14" s="100"/>
      <c r="B14" s="90"/>
      <c r="C14" s="99"/>
      <c r="D14" s="90"/>
      <c r="E14" s="34" t="s">
        <v>15</v>
      </c>
      <c r="F14" s="29">
        <v>3028.6666666666702</v>
      </c>
      <c r="G14" s="29">
        <v>303</v>
      </c>
      <c r="H14" s="27">
        <f t="shared" si="0"/>
        <v>3331.6666666666702</v>
      </c>
      <c r="I14" s="33">
        <v>4.7987080401430501E-2</v>
      </c>
      <c r="J14" s="27">
        <f>+ROUND(F14*I14,0)+F14</f>
        <v>3173.6666666666702</v>
      </c>
      <c r="K14" s="27">
        <f t="shared" si="4"/>
        <v>317</v>
      </c>
      <c r="L14" s="27">
        <f t="shared" si="5"/>
        <v>3490.6666666666702</v>
      </c>
      <c r="M14" s="37" t="s">
        <v>16</v>
      </c>
      <c r="N14" s="27">
        <v>3173.6666666666702</v>
      </c>
      <c r="O14" s="27">
        <v>317</v>
      </c>
      <c r="P14" s="27">
        <f t="shared" si="2"/>
        <v>3490.6666666666702</v>
      </c>
      <c r="Q14" s="36">
        <v>0.08</v>
      </c>
      <c r="R14" s="36">
        <v>0.1</v>
      </c>
    </row>
  </sheetData>
  <autoFilter ref="A3:S14" xr:uid="{00000000-0001-0000-0000-000000000000}"/>
  <mergeCells count="19">
    <mergeCell ref="B1:B3"/>
    <mergeCell ref="B4:B6"/>
    <mergeCell ref="B7:B10"/>
    <mergeCell ref="B11:B14"/>
    <mergeCell ref="A11:A14"/>
    <mergeCell ref="A1:A3"/>
    <mergeCell ref="A4:A6"/>
    <mergeCell ref="A7:A10"/>
    <mergeCell ref="D1:D3"/>
    <mergeCell ref="D7:D10"/>
    <mergeCell ref="D11:D14"/>
    <mergeCell ref="C1:C3"/>
    <mergeCell ref="C7:C10"/>
    <mergeCell ref="C11:C14"/>
    <mergeCell ref="N1:R2"/>
    <mergeCell ref="E1:E3"/>
    <mergeCell ref="M1:M3"/>
    <mergeCell ref="F1:H2"/>
    <mergeCell ref="I1:L2"/>
  </mergeCells>
  <pageMargins left="0.7" right="0.7" top="0.75" bottom="0.75" header="0.3" footer="0.3"/>
  <pageSetup paperSize="9" scale="6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T32"/>
  <sheetViews>
    <sheetView zoomScaleNormal="100" workbookViewId="0">
      <pane xSplit="2" ySplit="3" topLeftCell="C16" activePane="bottomRight" state="frozen"/>
      <selection pane="topRight"/>
      <selection pane="bottomLeft"/>
      <selection pane="bottomRight" sqref="A1:T26"/>
    </sheetView>
  </sheetViews>
  <sheetFormatPr defaultColWidth="9" defaultRowHeight="11.4" outlineLevelCol="1"/>
  <cols>
    <col min="1" max="1" width="6.44140625" style="49" customWidth="1"/>
    <col min="2" max="3" width="9" style="49"/>
    <col min="4" max="4" width="24.33203125" style="49" customWidth="1"/>
    <col min="5" max="5" width="15.6640625" style="49" customWidth="1"/>
    <col min="6" max="8" width="16" style="49" hidden="1" customWidth="1" outlineLevel="1"/>
    <col min="9" max="9" width="7.44140625" style="56" customWidth="1" collapsed="1"/>
    <col min="10" max="10" width="10.88671875" style="57" customWidth="1"/>
    <col min="11" max="11" width="10" style="57" customWidth="1"/>
    <col min="12" max="12" width="8.33203125" style="57" customWidth="1"/>
    <col min="13" max="13" width="14.6640625" style="58" hidden="1" customWidth="1"/>
    <col min="14" max="16" width="9.33203125" style="57" customWidth="1"/>
    <col min="17" max="17" width="10.88671875" style="57" customWidth="1"/>
    <col min="18" max="18" width="11.88671875" style="57" customWidth="1"/>
    <col min="19" max="16384" width="9" style="49"/>
  </cols>
  <sheetData>
    <row r="1" spans="1:20" ht="15" customHeight="1">
      <c r="A1" s="105" t="s">
        <v>0</v>
      </c>
      <c r="B1" s="105" t="s">
        <v>1</v>
      </c>
      <c r="C1" s="108" t="s">
        <v>2</v>
      </c>
      <c r="D1" s="105" t="s">
        <v>3</v>
      </c>
      <c r="E1" s="105" t="s">
        <v>4</v>
      </c>
      <c r="F1" s="107" t="s">
        <v>5</v>
      </c>
      <c r="G1" s="107"/>
      <c r="H1" s="107"/>
      <c r="I1" s="108" t="s">
        <v>6</v>
      </c>
      <c r="J1" s="108"/>
      <c r="K1" s="108"/>
      <c r="L1" s="108"/>
      <c r="M1" s="48"/>
      <c r="N1" s="72" t="s">
        <v>58</v>
      </c>
      <c r="O1" s="73"/>
      <c r="P1" s="73"/>
      <c r="Q1" s="73"/>
      <c r="R1" s="74"/>
    </row>
    <row r="2" spans="1:20" ht="12">
      <c r="A2" s="106"/>
      <c r="B2" s="106"/>
      <c r="C2" s="108"/>
      <c r="D2" s="106"/>
      <c r="E2" s="106"/>
      <c r="F2" s="107"/>
      <c r="G2" s="107"/>
      <c r="H2" s="107"/>
      <c r="I2" s="108"/>
      <c r="J2" s="108"/>
      <c r="K2" s="108"/>
      <c r="L2" s="108"/>
      <c r="M2" s="48" t="s">
        <v>30</v>
      </c>
      <c r="N2" s="75"/>
      <c r="O2" s="76"/>
      <c r="P2" s="76"/>
      <c r="Q2" s="77"/>
      <c r="R2" s="78"/>
    </row>
    <row r="3" spans="1:20" ht="48">
      <c r="A3" s="106"/>
      <c r="B3" s="106"/>
      <c r="C3" s="108"/>
      <c r="D3" s="106"/>
      <c r="E3" s="106"/>
      <c r="F3" s="1" t="s">
        <v>8</v>
      </c>
      <c r="G3" s="2" t="s">
        <v>9</v>
      </c>
      <c r="H3" s="2" t="s">
        <v>10</v>
      </c>
      <c r="I3" s="43" t="s">
        <v>11</v>
      </c>
      <c r="J3" s="1" t="s">
        <v>8</v>
      </c>
      <c r="K3" s="1" t="s">
        <v>87</v>
      </c>
      <c r="L3" s="1" t="s">
        <v>10</v>
      </c>
      <c r="M3" s="48"/>
      <c r="N3" s="1" t="s">
        <v>8</v>
      </c>
      <c r="O3" s="1" t="s">
        <v>87</v>
      </c>
      <c r="P3" s="1" t="s">
        <v>10</v>
      </c>
      <c r="Q3" s="1" t="s">
        <v>59</v>
      </c>
      <c r="R3" s="1" t="s">
        <v>66</v>
      </c>
    </row>
    <row r="4" spans="1:20">
      <c r="A4" s="102">
        <v>1</v>
      </c>
      <c r="B4" s="102" t="s">
        <v>32</v>
      </c>
      <c r="C4" s="102" t="s">
        <v>13</v>
      </c>
      <c r="D4" s="16" t="s">
        <v>31</v>
      </c>
      <c r="E4" s="16" t="s">
        <v>15</v>
      </c>
      <c r="F4" s="17">
        <v>3873</v>
      </c>
      <c r="G4" s="16">
        <v>0</v>
      </c>
      <c r="H4" s="17">
        <f t="shared" ref="H4" si="0">+F4+G4</f>
        <v>3873</v>
      </c>
      <c r="I4" s="44">
        <v>4.8000000000000001E-2</v>
      </c>
      <c r="J4" s="45">
        <f>+ROUND(F4*I4,0)+F4</f>
        <v>4059</v>
      </c>
      <c r="K4" s="46">
        <f t="shared" ref="K4:K26" si="1">+ROUND(G4*I4,0)+G4</f>
        <v>0</v>
      </c>
      <c r="L4" s="47">
        <f t="shared" ref="L4:L26" si="2">+J4+K4</f>
        <v>4059</v>
      </c>
      <c r="M4" s="50" t="s">
        <v>16</v>
      </c>
      <c r="N4" s="46">
        <v>3690</v>
      </c>
      <c r="O4" s="46">
        <f>+ROUND(N4*0.1,0)</f>
        <v>369</v>
      </c>
      <c r="P4" s="46">
        <f>+O4+N4</f>
        <v>4059</v>
      </c>
      <c r="Q4" s="51">
        <v>0.08</v>
      </c>
      <c r="R4" s="52">
        <v>0.1</v>
      </c>
      <c r="S4" s="49">
        <f>ROUND(N4*0.1,0)</f>
        <v>369</v>
      </c>
      <c r="T4" s="71">
        <f>+S4-O4</f>
        <v>0</v>
      </c>
    </row>
    <row r="5" spans="1:20">
      <c r="A5" s="103"/>
      <c r="B5" s="103"/>
      <c r="C5" s="103"/>
      <c r="D5" s="38" t="s">
        <v>64</v>
      </c>
      <c r="E5" s="16" t="s">
        <v>15</v>
      </c>
      <c r="F5" s="17"/>
      <c r="G5" s="16"/>
      <c r="H5" s="17"/>
      <c r="I5" s="44"/>
      <c r="J5" s="45">
        <v>101508</v>
      </c>
      <c r="K5" s="46"/>
      <c r="L5" s="47">
        <f t="shared" si="2"/>
        <v>101508</v>
      </c>
      <c r="M5" s="50"/>
      <c r="N5" s="46">
        <f>101508/(1.1)</f>
        <v>92279.999999999985</v>
      </c>
      <c r="O5" s="46">
        <f>+ROUND(N5*0.1,0)</f>
        <v>9228</v>
      </c>
      <c r="P5" s="46">
        <f>+O5+N5</f>
        <v>101507.99999999999</v>
      </c>
      <c r="Q5" s="51">
        <v>0.08</v>
      </c>
      <c r="R5" s="52">
        <v>0.1</v>
      </c>
      <c r="S5" s="49">
        <f t="shared" ref="S5:S26" si="3">ROUND(N5*0.1,0)</f>
        <v>9228</v>
      </c>
      <c r="T5" s="71">
        <f t="shared" ref="T5:T26" si="4">+S5-O5</f>
        <v>0</v>
      </c>
    </row>
    <row r="6" spans="1:20" ht="22.8">
      <c r="A6" s="104"/>
      <c r="B6" s="104"/>
      <c r="C6" s="104"/>
      <c r="D6" s="38" t="s">
        <v>65</v>
      </c>
      <c r="E6" s="16" t="s">
        <v>15</v>
      </c>
      <c r="F6" s="17"/>
      <c r="G6" s="16"/>
      <c r="H6" s="17"/>
      <c r="I6" s="44"/>
      <c r="J6" s="45">
        <v>50000</v>
      </c>
      <c r="K6" s="45"/>
      <c r="L6" s="45">
        <v>50000</v>
      </c>
      <c r="M6" s="53"/>
      <c r="N6" s="45">
        <v>50000</v>
      </c>
      <c r="O6" s="45"/>
      <c r="P6" s="45">
        <f>+O6+N6</f>
        <v>50000</v>
      </c>
      <c r="Q6" s="54"/>
      <c r="R6" s="52">
        <v>0.1</v>
      </c>
      <c r="T6" s="71">
        <f t="shared" si="4"/>
        <v>0</v>
      </c>
    </row>
    <row r="7" spans="1:20">
      <c r="A7" s="102">
        <v>2</v>
      </c>
      <c r="B7" s="102" t="s">
        <v>33</v>
      </c>
      <c r="C7" s="102" t="s">
        <v>13</v>
      </c>
      <c r="D7" s="109" t="s">
        <v>31</v>
      </c>
      <c r="E7" s="16" t="s">
        <v>19</v>
      </c>
      <c r="F7" s="17">
        <v>1830</v>
      </c>
      <c r="G7" s="18">
        <v>183</v>
      </c>
      <c r="H7" s="17">
        <f t="shared" ref="H7:H26" si="5">+F7+G7</f>
        <v>2013</v>
      </c>
      <c r="I7" s="44">
        <f>104.808743169399%-1</f>
        <v>4.8087431693989879E-2</v>
      </c>
      <c r="J7" s="45">
        <v>1918</v>
      </c>
      <c r="K7" s="47">
        <f>+ROUND(J7*0.1,0)</f>
        <v>192</v>
      </c>
      <c r="L7" s="47">
        <f t="shared" si="2"/>
        <v>2110</v>
      </c>
      <c r="M7" s="50" t="s">
        <v>22</v>
      </c>
      <c r="N7" s="45">
        <v>1918</v>
      </c>
      <c r="O7" s="45">
        <v>192</v>
      </c>
      <c r="P7" s="47">
        <v>2110</v>
      </c>
      <c r="Q7" s="51">
        <v>0.08</v>
      </c>
      <c r="R7" s="52">
        <v>0.1</v>
      </c>
      <c r="S7" s="49">
        <f t="shared" si="3"/>
        <v>192</v>
      </c>
      <c r="T7" s="71">
        <f t="shared" si="4"/>
        <v>0</v>
      </c>
    </row>
    <row r="8" spans="1:20">
      <c r="A8" s="103"/>
      <c r="B8" s="103"/>
      <c r="C8" s="103"/>
      <c r="D8" s="110"/>
      <c r="E8" s="16" t="s">
        <v>20</v>
      </c>
      <c r="F8" s="17">
        <v>3007</v>
      </c>
      <c r="G8" s="18">
        <v>301</v>
      </c>
      <c r="H8" s="17">
        <f t="shared" si="5"/>
        <v>3308</v>
      </c>
      <c r="I8" s="44">
        <f>104.822081809112%-1</f>
        <v>4.822081809112011E-2</v>
      </c>
      <c r="J8" s="45">
        <v>3152</v>
      </c>
      <c r="K8" s="45">
        <f>+ROUND(J8*0.1,0)+1</f>
        <v>316</v>
      </c>
      <c r="L8" s="47">
        <f t="shared" si="2"/>
        <v>3468</v>
      </c>
      <c r="M8" s="50" t="s">
        <v>22</v>
      </c>
      <c r="N8" s="45">
        <v>3152</v>
      </c>
      <c r="O8" s="45">
        <v>316</v>
      </c>
      <c r="P8" s="47">
        <v>3468</v>
      </c>
      <c r="Q8" s="51">
        <v>0.08</v>
      </c>
      <c r="R8" s="52">
        <v>0.1</v>
      </c>
      <c r="S8" s="49">
        <f>ROUND(N8*0.1,0)</f>
        <v>315</v>
      </c>
      <c r="T8" s="71">
        <f t="shared" si="4"/>
        <v>-1</v>
      </c>
    </row>
    <row r="9" spans="1:20">
      <c r="A9" s="103"/>
      <c r="B9" s="103"/>
      <c r="C9" s="103"/>
      <c r="D9" s="111"/>
      <c r="E9" s="16" t="s">
        <v>21</v>
      </c>
      <c r="F9" s="17">
        <v>5174</v>
      </c>
      <c r="G9" s="18">
        <v>517</v>
      </c>
      <c r="H9" s="17">
        <f t="shared" si="5"/>
        <v>5691</v>
      </c>
      <c r="I9" s="44">
        <f>104.793196752996%-1</f>
        <v>4.7931967529959874E-2</v>
      </c>
      <c r="J9" s="45">
        <v>5422</v>
      </c>
      <c r="K9" s="45">
        <f t="shared" ref="K9" si="6">+ROUND(J9*0.1,0)</f>
        <v>542</v>
      </c>
      <c r="L9" s="47">
        <f t="shared" si="2"/>
        <v>5964</v>
      </c>
      <c r="M9" s="50" t="s">
        <v>22</v>
      </c>
      <c r="N9" s="45">
        <v>5422</v>
      </c>
      <c r="O9" s="45">
        <v>542</v>
      </c>
      <c r="P9" s="47">
        <v>5964</v>
      </c>
      <c r="Q9" s="51">
        <v>0.08</v>
      </c>
      <c r="R9" s="52">
        <v>0.1</v>
      </c>
      <c r="S9" s="49">
        <f t="shared" si="3"/>
        <v>542</v>
      </c>
      <c r="T9" s="71">
        <f t="shared" si="4"/>
        <v>0</v>
      </c>
    </row>
    <row r="10" spans="1:20" ht="22.8">
      <c r="A10" s="103"/>
      <c r="B10" s="103"/>
      <c r="C10" s="103"/>
      <c r="D10" s="16" t="s">
        <v>34</v>
      </c>
      <c r="E10" s="16" t="s">
        <v>15</v>
      </c>
      <c r="F10" s="17">
        <v>2197</v>
      </c>
      <c r="G10" s="16">
        <v>0</v>
      </c>
      <c r="H10" s="17">
        <f t="shared" si="5"/>
        <v>2197</v>
      </c>
      <c r="I10" s="44">
        <v>4.8000000000000001E-2</v>
      </c>
      <c r="J10" s="45">
        <f t="shared" ref="J10:J26" si="7">+ROUND(F10*I10,0)+F10</f>
        <v>2302</v>
      </c>
      <c r="K10" s="46">
        <f t="shared" si="1"/>
        <v>0</v>
      </c>
      <c r="L10" s="47">
        <f t="shared" si="2"/>
        <v>2302</v>
      </c>
      <c r="M10" s="50" t="s">
        <v>16</v>
      </c>
      <c r="N10" s="46">
        <v>2093</v>
      </c>
      <c r="O10" s="46">
        <f>+ROUND(N10*0.1,0)</f>
        <v>209</v>
      </c>
      <c r="P10" s="46">
        <f>+O10+N10</f>
        <v>2302</v>
      </c>
      <c r="Q10" s="51">
        <v>0.08</v>
      </c>
      <c r="R10" s="52">
        <v>0.1</v>
      </c>
      <c r="S10" s="49">
        <f t="shared" si="3"/>
        <v>209</v>
      </c>
      <c r="T10" s="71">
        <f t="shared" si="4"/>
        <v>0</v>
      </c>
    </row>
    <row r="11" spans="1:20" ht="22.8">
      <c r="A11" s="104"/>
      <c r="B11" s="104"/>
      <c r="C11" s="104"/>
      <c r="D11" s="16" t="s">
        <v>35</v>
      </c>
      <c r="E11" s="16" t="s">
        <v>15</v>
      </c>
      <c r="F11" s="17">
        <v>3873</v>
      </c>
      <c r="G11" s="16">
        <v>0</v>
      </c>
      <c r="H11" s="17">
        <f t="shared" si="5"/>
        <v>3873</v>
      </c>
      <c r="I11" s="44">
        <v>4.8000000000000001E-2</v>
      </c>
      <c r="J11" s="45">
        <f t="shared" si="7"/>
        <v>4059</v>
      </c>
      <c r="K11" s="46">
        <f t="shared" si="1"/>
        <v>0</v>
      </c>
      <c r="L11" s="47">
        <f t="shared" si="2"/>
        <v>4059</v>
      </c>
      <c r="M11" s="50" t="s">
        <v>16</v>
      </c>
      <c r="N11" s="46">
        <v>3690</v>
      </c>
      <c r="O11" s="46">
        <f>+ROUND(N11*0.1,0)</f>
        <v>369</v>
      </c>
      <c r="P11" s="46">
        <f>+O11+N11</f>
        <v>4059</v>
      </c>
      <c r="Q11" s="51">
        <v>0.08</v>
      </c>
      <c r="R11" s="52">
        <v>0.1</v>
      </c>
      <c r="S11" s="49">
        <f t="shared" si="3"/>
        <v>369</v>
      </c>
      <c r="T11" s="71">
        <f t="shared" si="4"/>
        <v>0</v>
      </c>
    </row>
    <row r="12" spans="1:20" ht="28.5" customHeight="1">
      <c r="A12" s="102">
        <v>3</v>
      </c>
      <c r="B12" s="102" t="s">
        <v>36</v>
      </c>
      <c r="C12" s="102" t="s">
        <v>13</v>
      </c>
      <c r="D12" s="109" t="s">
        <v>31</v>
      </c>
      <c r="E12" s="16" t="s">
        <v>19</v>
      </c>
      <c r="F12" s="17">
        <v>1830</v>
      </c>
      <c r="G12" s="18">
        <v>183</v>
      </c>
      <c r="H12" s="17">
        <f t="shared" si="5"/>
        <v>2013</v>
      </c>
      <c r="I12" s="44">
        <f>104.808743169399%-1</f>
        <v>4.8087431693989879E-2</v>
      </c>
      <c r="J12" s="45">
        <v>1918</v>
      </c>
      <c r="K12" s="45">
        <f>+ROUND(J12*0.1,0)</f>
        <v>192</v>
      </c>
      <c r="L12" s="45">
        <f t="shared" ref="L12:L14" si="8">+J12+K12</f>
        <v>2110</v>
      </c>
      <c r="M12" s="53" t="s">
        <v>22</v>
      </c>
      <c r="N12" s="45">
        <v>1918</v>
      </c>
      <c r="O12" s="45">
        <v>192</v>
      </c>
      <c r="P12" s="47">
        <v>2110</v>
      </c>
      <c r="Q12" s="51">
        <v>0.08</v>
      </c>
      <c r="R12" s="52">
        <v>0.1</v>
      </c>
      <c r="S12" s="49">
        <f t="shared" si="3"/>
        <v>192</v>
      </c>
      <c r="T12" s="71">
        <f t="shared" si="4"/>
        <v>0</v>
      </c>
    </row>
    <row r="13" spans="1:20">
      <c r="A13" s="103"/>
      <c r="B13" s="103"/>
      <c r="C13" s="103"/>
      <c r="D13" s="110"/>
      <c r="E13" s="16" t="s">
        <v>20</v>
      </c>
      <c r="F13" s="17">
        <v>3007</v>
      </c>
      <c r="G13" s="18">
        <v>301</v>
      </c>
      <c r="H13" s="17">
        <f t="shared" si="5"/>
        <v>3308</v>
      </c>
      <c r="I13" s="44">
        <f>104.822081809112%-1</f>
        <v>4.822081809112011E-2</v>
      </c>
      <c r="J13" s="45">
        <v>3152</v>
      </c>
      <c r="K13" s="45">
        <f>+ROUND(J13*0.1,0)+1</f>
        <v>316</v>
      </c>
      <c r="L13" s="45">
        <f t="shared" si="8"/>
        <v>3468</v>
      </c>
      <c r="M13" s="53" t="s">
        <v>22</v>
      </c>
      <c r="N13" s="45">
        <v>3152</v>
      </c>
      <c r="O13" s="45">
        <v>316</v>
      </c>
      <c r="P13" s="47">
        <v>3468</v>
      </c>
      <c r="Q13" s="51">
        <v>0.08</v>
      </c>
      <c r="R13" s="52">
        <v>0.1</v>
      </c>
      <c r="S13" s="49">
        <f t="shared" si="3"/>
        <v>315</v>
      </c>
      <c r="T13" s="71">
        <f t="shared" si="4"/>
        <v>-1</v>
      </c>
    </row>
    <row r="14" spans="1:20">
      <c r="A14" s="103"/>
      <c r="B14" s="103"/>
      <c r="C14" s="103"/>
      <c r="D14" s="111"/>
      <c r="E14" s="16" t="s">
        <v>21</v>
      </c>
      <c r="F14" s="17">
        <v>5174</v>
      </c>
      <c r="G14" s="18">
        <v>517</v>
      </c>
      <c r="H14" s="17">
        <f t="shared" si="5"/>
        <v>5691</v>
      </c>
      <c r="I14" s="44">
        <f>104.793196752996%-1</f>
        <v>4.7931967529959874E-2</v>
      </c>
      <c r="J14" s="45">
        <v>5422</v>
      </c>
      <c r="K14" s="45">
        <f t="shared" ref="K14" si="9">+ROUND(J14*0.1,0)</f>
        <v>542</v>
      </c>
      <c r="L14" s="45">
        <f t="shared" si="8"/>
        <v>5964</v>
      </c>
      <c r="M14" s="53" t="s">
        <v>22</v>
      </c>
      <c r="N14" s="45">
        <v>5422</v>
      </c>
      <c r="O14" s="45">
        <v>542</v>
      </c>
      <c r="P14" s="47">
        <v>5964</v>
      </c>
      <c r="Q14" s="51">
        <v>0.08</v>
      </c>
      <c r="R14" s="52">
        <v>0.1</v>
      </c>
      <c r="S14" s="49">
        <f t="shared" si="3"/>
        <v>542</v>
      </c>
      <c r="T14" s="71">
        <f t="shared" si="4"/>
        <v>0</v>
      </c>
    </row>
    <row r="15" spans="1:20" ht="22.8">
      <c r="A15" s="103"/>
      <c r="B15" s="103"/>
      <c r="C15" s="103"/>
      <c r="D15" s="16" t="s">
        <v>34</v>
      </c>
      <c r="E15" s="16" t="s">
        <v>15</v>
      </c>
      <c r="F15" s="17">
        <v>2197</v>
      </c>
      <c r="G15" s="16">
        <v>0</v>
      </c>
      <c r="H15" s="17">
        <f t="shared" si="5"/>
        <v>2197</v>
      </c>
      <c r="I15" s="44">
        <v>4.8000000000000001E-2</v>
      </c>
      <c r="J15" s="45">
        <f t="shared" si="7"/>
        <v>2302</v>
      </c>
      <c r="K15" s="46">
        <f t="shared" si="1"/>
        <v>0</v>
      </c>
      <c r="L15" s="47">
        <f t="shared" si="2"/>
        <v>2302</v>
      </c>
      <c r="M15" s="50" t="s">
        <v>16</v>
      </c>
      <c r="N15" s="46">
        <v>2093</v>
      </c>
      <c r="O15" s="46">
        <f>+ROUND(N15*0.1,0)</f>
        <v>209</v>
      </c>
      <c r="P15" s="46">
        <f>+O15+N15</f>
        <v>2302</v>
      </c>
      <c r="Q15" s="51">
        <v>0.08</v>
      </c>
      <c r="R15" s="52">
        <v>0.1</v>
      </c>
      <c r="S15" s="49">
        <f t="shared" si="3"/>
        <v>209</v>
      </c>
      <c r="T15" s="71">
        <f t="shared" si="4"/>
        <v>0</v>
      </c>
    </row>
    <row r="16" spans="1:20" ht="22.8">
      <c r="A16" s="104"/>
      <c r="B16" s="104"/>
      <c r="C16" s="104"/>
      <c r="D16" s="16" t="s">
        <v>35</v>
      </c>
      <c r="E16" s="16" t="s">
        <v>15</v>
      </c>
      <c r="F16" s="17">
        <v>3949</v>
      </c>
      <c r="G16" s="16">
        <v>0</v>
      </c>
      <c r="H16" s="17">
        <f t="shared" si="5"/>
        <v>3949</v>
      </c>
      <c r="I16" s="44">
        <v>4.8000000000000001E-2</v>
      </c>
      <c r="J16" s="45">
        <f t="shared" si="7"/>
        <v>4139</v>
      </c>
      <c r="K16" s="46">
        <f t="shared" si="1"/>
        <v>0</v>
      </c>
      <c r="L16" s="47">
        <f t="shared" si="2"/>
        <v>4139</v>
      </c>
      <c r="M16" s="50" t="s">
        <v>16</v>
      </c>
      <c r="N16" s="46">
        <v>3763</v>
      </c>
      <c r="O16" s="46">
        <f>+ROUND(N16*0.1,0)</f>
        <v>376</v>
      </c>
      <c r="P16" s="46">
        <f>+O16+N16</f>
        <v>4139</v>
      </c>
      <c r="Q16" s="51">
        <v>0.08</v>
      </c>
      <c r="R16" s="52">
        <v>0.1</v>
      </c>
      <c r="S16" s="49">
        <f t="shared" si="3"/>
        <v>376</v>
      </c>
      <c r="T16" s="71">
        <f t="shared" si="4"/>
        <v>0</v>
      </c>
    </row>
    <row r="17" spans="1:20">
      <c r="A17" s="102">
        <v>4</v>
      </c>
      <c r="B17" s="102" t="s">
        <v>37</v>
      </c>
      <c r="C17" s="102" t="s">
        <v>13</v>
      </c>
      <c r="D17" s="112" t="s">
        <v>38</v>
      </c>
      <c r="E17" s="16" t="s">
        <v>19</v>
      </c>
      <c r="F17" s="17">
        <v>1830</v>
      </c>
      <c r="G17" s="18">
        <v>183</v>
      </c>
      <c r="H17" s="17">
        <f t="shared" si="5"/>
        <v>2013</v>
      </c>
      <c r="I17" s="44">
        <f>104.808743169399%-1</f>
        <v>4.8087431693989879E-2</v>
      </c>
      <c r="J17" s="45">
        <v>1918</v>
      </c>
      <c r="K17" s="45">
        <f>+ROUND(J17*0.1,0)</f>
        <v>192</v>
      </c>
      <c r="L17" s="45">
        <f t="shared" ref="L17:L19" si="10">+J17+K17</f>
        <v>2110</v>
      </c>
      <c r="M17" s="53" t="s">
        <v>22</v>
      </c>
      <c r="N17" s="45">
        <v>1918</v>
      </c>
      <c r="O17" s="45">
        <v>192</v>
      </c>
      <c r="P17" s="47">
        <v>2110</v>
      </c>
      <c r="Q17" s="51">
        <v>0.08</v>
      </c>
      <c r="R17" s="52">
        <v>0.1</v>
      </c>
      <c r="S17" s="49">
        <f t="shared" si="3"/>
        <v>192</v>
      </c>
      <c r="T17" s="71">
        <f t="shared" si="4"/>
        <v>0</v>
      </c>
    </row>
    <row r="18" spans="1:20">
      <c r="A18" s="103"/>
      <c r="B18" s="103"/>
      <c r="C18" s="103"/>
      <c r="D18" s="112"/>
      <c r="E18" s="16" t="s">
        <v>20</v>
      </c>
      <c r="F18" s="17">
        <v>3007</v>
      </c>
      <c r="G18" s="18">
        <v>301</v>
      </c>
      <c r="H18" s="17">
        <f t="shared" si="5"/>
        <v>3308</v>
      </c>
      <c r="I18" s="44">
        <f>104.822081809112%-1</f>
        <v>4.822081809112011E-2</v>
      </c>
      <c r="J18" s="45">
        <v>3152</v>
      </c>
      <c r="K18" s="45">
        <f>+ROUND(J18*0.1,0)+1</f>
        <v>316</v>
      </c>
      <c r="L18" s="45">
        <f t="shared" si="10"/>
        <v>3468</v>
      </c>
      <c r="M18" s="53" t="s">
        <v>22</v>
      </c>
      <c r="N18" s="45">
        <v>3152</v>
      </c>
      <c r="O18" s="45">
        <v>316</v>
      </c>
      <c r="P18" s="47">
        <v>3468</v>
      </c>
      <c r="Q18" s="51">
        <v>0.08</v>
      </c>
      <c r="R18" s="52">
        <v>0.1</v>
      </c>
      <c r="S18" s="49">
        <f t="shared" si="3"/>
        <v>315</v>
      </c>
      <c r="T18" s="71">
        <f t="shared" si="4"/>
        <v>-1</v>
      </c>
    </row>
    <row r="19" spans="1:20">
      <c r="A19" s="103"/>
      <c r="B19" s="103"/>
      <c r="C19" s="103"/>
      <c r="D19" s="112"/>
      <c r="E19" s="16" t="s">
        <v>21</v>
      </c>
      <c r="F19" s="17">
        <v>5174</v>
      </c>
      <c r="G19" s="18">
        <v>517</v>
      </c>
      <c r="H19" s="17">
        <f t="shared" si="5"/>
        <v>5691</v>
      </c>
      <c r="I19" s="44">
        <f>104.793196752996%-1</f>
        <v>4.7931967529959874E-2</v>
      </c>
      <c r="J19" s="45">
        <v>5422</v>
      </c>
      <c r="K19" s="45">
        <f t="shared" ref="K19" si="11">+ROUND(J19*0.1,0)</f>
        <v>542</v>
      </c>
      <c r="L19" s="45">
        <f t="shared" si="10"/>
        <v>5964</v>
      </c>
      <c r="M19" s="53" t="s">
        <v>22</v>
      </c>
      <c r="N19" s="45">
        <v>5422</v>
      </c>
      <c r="O19" s="45">
        <v>542</v>
      </c>
      <c r="P19" s="47">
        <v>5964</v>
      </c>
      <c r="Q19" s="51">
        <v>0.08</v>
      </c>
      <c r="R19" s="52">
        <v>0.1</v>
      </c>
      <c r="S19" s="49">
        <f t="shared" si="3"/>
        <v>542</v>
      </c>
      <c r="T19" s="71">
        <f t="shared" si="4"/>
        <v>0</v>
      </c>
    </row>
    <row r="20" spans="1:20" ht="22.8">
      <c r="A20" s="103"/>
      <c r="B20" s="103"/>
      <c r="C20" s="103"/>
      <c r="D20" s="16" t="s">
        <v>34</v>
      </c>
      <c r="E20" s="16" t="s">
        <v>15</v>
      </c>
      <c r="F20" s="17">
        <v>2197</v>
      </c>
      <c r="G20" s="16">
        <v>0</v>
      </c>
      <c r="H20" s="17">
        <f t="shared" si="5"/>
        <v>2197</v>
      </c>
      <c r="I20" s="44">
        <v>4.8000000000000001E-2</v>
      </c>
      <c r="J20" s="45">
        <f t="shared" si="7"/>
        <v>2302</v>
      </c>
      <c r="K20" s="46">
        <f t="shared" si="1"/>
        <v>0</v>
      </c>
      <c r="L20" s="47">
        <f t="shared" si="2"/>
        <v>2302</v>
      </c>
      <c r="M20" s="50" t="s">
        <v>16</v>
      </c>
      <c r="N20" s="46">
        <v>2093</v>
      </c>
      <c r="O20" s="46">
        <f>+ROUND(N20*0.1,0)</f>
        <v>209</v>
      </c>
      <c r="P20" s="46">
        <f>+O20+N20</f>
        <v>2302</v>
      </c>
      <c r="Q20" s="51">
        <v>0.08</v>
      </c>
      <c r="R20" s="52">
        <v>0.1</v>
      </c>
      <c r="S20" s="49">
        <f t="shared" si="3"/>
        <v>209</v>
      </c>
      <c r="T20" s="71">
        <f t="shared" si="4"/>
        <v>0</v>
      </c>
    </row>
    <row r="21" spans="1:20" ht="22.8">
      <c r="A21" s="104"/>
      <c r="B21" s="104"/>
      <c r="C21" s="104"/>
      <c r="D21" s="16" t="s">
        <v>39</v>
      </c>
      <c r="E21" s="16" t="s">
        <v>15</v>
      </c>
      <c r="F21" s="17">
        <v>3949</v>
      </c>
      <c r="G21" s="16">
        <v>0</v>
      </c>
      <c r="H21" s="17">
        <f t="shared" si="5"/>
        <v>3949</v>
      </c>
      <c r="I21" s="44">
        <v>4.8000000000000001E-2</v>
      </c>
      <c r="J21" s="45">
        <f t="shared" si="7"/>
        <v>4139</v>
      </c>
      <c r="K21" s="46">
        <f t="shared" si="1"/>
        <v>0</v>
      </c>
      <c r="L21" s="47">
        <f t="shared" si="2"/>
        <v>4139</v>
      </c>
      <c r="M21" s="50" t="s">
        <v>16</v>
      </c>
      <c r="N21" s="46">
        <v>3763</v>
      </c>
      <c r="O21" s="46">
        <f>+ROUND(N21*0.1,0)</f>
        <v>376</v>
      </c>
      <c r="P21" s="46">
        <f>+O21+N21</f>
        <v>4139</v>
      </c>
      <c r="Q21" s="51">
        <v>0.08</v>
      </c>
      <c r="R21" s="52">
        <v>0.1</v>
      </c>
      <c r="S21" s="49">
        <f t="shared" si="3"/>
        <v>376</v>
      </c>
      <c r="T21" s="71">
        <f t="shared" si="4"/>
        <v>0</v>
      </c>
    </row>
    <row r="22" spans="1:20">
      <c r="A22" s="102">
        <v>5</v>
      </c>
      <c r="B22" s="102" t="s">
        <v>40</v>
      </c>
      <c r="C22" s="102" t="s">
        <v>13</v>
      </c>
      <c r="D22" s="112" t="s">
        <v>41</v>
      </c>
      <c r="E22" s="16" t="s">
        <v>19</v>
      </c>
      <c r="F22" s="17">
        <v>1830</v>
      </c>
      <c r="G22" s="18">
        <v>183</v>
      </c>
      <c r="H22" s="17">
        <f t="shared" si="5"/>
        <v>2013</v>
      </c>
      <c r="I22" s="44">
        <f>104.808743169399%-1</f>
        <v>4.8087431693989879E-2</v>
      </c>
      <c r="J22" s="45">
        <v>1918</v>
      </c>
      <c r="K22" s="45">
        <f>+ROUND(J22*0.1,0)</f>
        <v>192</v>
      </c>
      <c r="L22" s="45">
        <f t="shared" ref="L22:L24" si="12">+J22+K22</f>
        <v>2110</v>
      </c>
      <c r="M22" s="53" t="s">
        <v>22</v>
      </c>
      <c r="N22" s="45">
        <v>1918</v>
      </c>
      <c r="O22" s="45">
        <v>192</v>
      </c>
      <c r="P22" s="47">
        <v>2110</v>
      </c>
      <c r="Q22" s="51">
        <v>0.08</v>
      </c>
      <c r="R22" s="52">
        <v>0.1</v>
      </c>
      <c r="S22" s="49">
        <f t="shared" si="3"/>
        <v>192</v>
      </c>
      <c r="T22" s="71">
        <f t="shared" si="4"/>
        <v>0</v>
      </c>
    </row>
    <row r="23" spans="1:20">
      <c r="A23" s="103"/>
      <c r="B23" s="103"/>
      <c r="C23" s="103"/>
      <c r="D23" s="112"/>
      <c r="E23" s="16" t="s">
        <v>20</v>
      </c>
      <c r="F23" s="17">
        <v>3007</v>
      </c>
      <c r="G23" s="18">
        <v>301</v>
      </c>
      <c r="H23" s="17">
        <f t="shared" si="5"/>
        <v>3308</v>
      </c>
      <c r="I23" s="44">
        <f>104.822081809112%-1</f>
        <v>4.822081809112011E-2</v>
      </c>
      <c r="J23" s="45">
        <v>3152</v>
      </c>
      <c r="K23" s="45">
        <f>+ROUND(J23*0.1,0)+1</f>
        <v>316</v>
      </c>
      <c r="L23" s="45">
        <f t="shared" si="12"/>
        <v>3468</v>
      </c>
      <c r="M23" s="53" t="s">
        <v>22</v>
      </c>
      <c r="N23" s="45">
        <v>3152</v>
      </c>
      <c r="O23" s="45">
        <v>316</v>
      </c>
      <c r="P23" s="47">
        <v>3468</v>
      </c>
      <c r="Q23" s="51">
        <v>0.08</v>
      </c>
      <c r="R23" s="52">
        <v>0.1</v>
      </c>
      <c r="S23" s="49">
        <f t="shared" si="3"/>
        <v>315</v>
      </c>
      <c r="T23" s="71">
        <f t="shared" si="4"/>
        <v>-1</v>
      </c>
    </row>
    <row r="24" spans="1:20">
      <c r="A24" s="103"/>
      <c r="B24" s="103"/>
      <c r="C24" s="103"/>
      <c r="D24" s="112"/>
      <c r="E24" s="16" t="s">
        <v>21</v>
      </c>
      <c r="F24" s="17">
        <v>5174</v>
      </c>
      <c r="G24" s="18">
        <v>517</v>
      </c>
      <c r="H24" s="17">
        <f t="shared" si="5"/>
        <v>5691</v>
      </c>
      <c r="I24" s="44">
        <f>104.793196752996%-1</f>
        <v>4.7931967529959874E-2</v>
      </c>
      <c r="J24" s="45">
        <v>5422</v>
      </c>
      <c r="K24" s="45">
        <f>+ROUND(J24*0.1,0)</f>
        <v>542</v>
      </c>
      <c r="L24" s="45">
        <f t="shared" si="12"/>
        <v>5964</v>
      </c>
      <c r="M24" s="53" t="s">
        <v>22</v>
      </c>
      <c r="N24" s="45">
        <v>5422</v>
      </c>
      <c r="O24" s="45">
        <v>542</v>
      </c>
      <c r="P24" s="47">
        <v>5964</v>
      </c>
      <c r="Q24" s="51">
        <v>0.08</v>
      </c>
      <c r="R24" s="52">
        <v>0.1</v>
      </c>
      <c r="S24" s="49">
        <f t="shared" si="3"/>
        <v>542</v>
      </c>
      <c r="T24" s="71">
        <f t="shared" si="4"/>
        <v>0</v>
      </c>
    </row>
    <row r="25" spans="1:20">
      <c r="A25" s="103"/>
      <c r="B25" s="103"/>
      <c r="C25" s="103"/>
      <c r="D25" s="16" t="s">
        <v>42</v>
      </c>
      <c r="E25" s="16" t="s">
        <v>15</v>
      </c>
      <c r="F25" s="17">
        <v>6417</v>
      </c>
      <c r="G25" s="16">
        <v>0</v>
      </c>
      <c r="H25" s="17">
        <f t="shared" si="5"/>
        <v>6417</v>
      </c>
      <c r="I25" s="44">
        <v>4.8000000000000001E-2</v>
      </c>
      <c r="J25" s="45">
        <f t="shared" si="7"/>
        <v>6725</v>
      </c>
      <c r="K25" s="46">
        <f t="shared" si="1"/>
        <v>0</v>
      </c>
      <c r="L25" s="47">
        <f t="shared" si="2"/>
        <v>6725</v>
      </c>
      <c r="M25" s="50" t="s">
        <v>16</v>
      </c>
      <c r="N25" s="46">
        <v>6113.6363636363631</v>
      </c>
      <c r="O25" s="46">
        <f>+ROUND(N25*0.1,0)</f>
        <v>611</v>
      </c>
      <c r="P25" s="46">
        <f>+O25+N25</f>
        <v>6724.6363636363631</v>
      </c>
      <c r="Q25" s="51">
        <v>0.08</v>
      </c>
      <c r="R25" s="52">
        <v>0.1</v>
      </c>
      <c r="S25" s="49">
        <f t="shared" si="3"/>
        <v>611</v>
      </c>
      <c r="T25" s="71">
        <f t="shared" si="4"/>
        <v>0</v>
      </c>
    </row>
    <row r="26" spans="1:20" ht="22.8">
      <c r="A26" s="104"/>
      <c r="B26" s="104"/>
      <c r="C26" s="104"/>
      <c r="D26" s="16" t="s">
        <v>43</v>
      </c>
      <c r="E26" s="16" t="s">
        <v>15</v>
      </c>
      <c r="F26" s="17">
        <v>4724</v>
      </c>
      <c r="G26" s="16">
        <v>0</v>
      </c>
      <c r="H26" s="17">
        <f t="shared" si="5"/>
        <v>4724</v>
      </c>
      <c r="I26" s="44">
        <v>4.8000000000000001E-2</v>
      </c>
      <c r="J26" s="45">
        <f t="shared" si="7"/>
        <v>4951</v>
      </c>
      <c r="K26" s="46">
        <f t="shared" si="1"/>
        <v>0</v>
      </c>
      <c r="L26" s="47">
        <f t="shared" si="2"/>
        <v>4951</v>
      </c>
      <c r="M26" s="50" t="s">
        <v>16</v>
      </c>
      <c r="N26" s="46">
        <v>4501</v>
      </c>
      <c r="O26" s="46">
        <f>+ROUND(N26*0.1,0)</f>
        <v>450</v>
      </c>
      <c r="P26" s="46">
        <f>+O26+N26</f>
        <v>4951</v>
      </c>
      <c r="Q26" s="51">
        <v>0.08</v>
      </c>
      <c r="R26" s="52">
        <v>0.1</v>
      </c>
      <c r="S26" s="49">
        <f t="shared" si="3"/>
        <v>450</v>
      </c>
      <c r="T26" s="71">
        <f t="shared" si="4"/>
        <v>0</v>
      </c>
    </row>
    <row r="30" spans="1:20">
      <c r="H30" s="55"/>
    </row>
    <row r="31" spans="1:20">
      <c r="H31" s="55"/>
    </row>
    <row r="32" spans="1:20">
      <c r="H32" s="55"/>
    </row>
  </sheetData>
  <mergeCells count="27">
    <mergeCell ref="A17:A21"/>
    <mergeCell ref="A22:A26"/>
    <mergeCell ref="B1:B3"/>
    <mergeCell ref="B7:B11"/>
    <mergeCell ref="B12:B16"/>
    <mergeCell ref="B17:B21"/>
    <mergeCell ref="B22:B26"/>
    <mergeCell ref="A1:A3"/>
    <mergeCell ref="A7:A11"/>
    <mergeCell ref="A12:A16"/>
    <mergeCell ref="A4:A6"/>
    <mergeCell ref="C17:C21"/>
    <mergeCell ref="C22:C26"/>
    <mergeCell ref="D1:D3"/>
    <mergeCell ref="D7:D9"/>
    <mergeCell ref="D12:D14"/>
    <mergeCell ref="D17:D19"/>
    <mergeCell ref="D22:D24"/>
    <mergeCell ref="C1:C3"/>
    <mergeCell ref="C7:C11"/>
    <mergeCell ref="C12:C16"/>
    <mergeCell ref="N1:R2"/>
    <mergeCell ref="C4:C6"/>
    <mergeCell ref="B4:B6"/>
    <mergeCell ref="E1:E3"/>
    <mergeCell ref="F1:H2"/>
    <mergeCell ref="I1:L2"/>
  </mergeCells>
  <pageMargins left="0.7" right="0.7" top="0.75" bottom="0.75" header="0.3" footer="0.3"/>
  <pageSetup paperSize="9" scale="6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338A-77AC-4AEF-8C1E-7ABE068ABAB0}">
  <dimension ref="A1:T11"/>
  <sheetViews>
    <sheetView tabSelected="1" topLeftCell="B1" workbookViewId="0">
      <selection sqref="A1:U11"/>
    </sheetView>
  </sheetViews>
  <sheetFormatPr defaultColWidth="9.109375" defaultRowHeight="13.8"/>
  <cols>
    <col min="1" max="2" width="9.109375" style="41"/>
    <col min="3" max="3" width="10.44140625" style="41" customWidth="1"/>
    <col min="4" max="4" width="7.88671875" style="41" customWidth="1"/>
    <col min="5" max="5" width="10.6640625" style="41" bestFit="1" customWidth="1"/>
    <col min="6" max="6" width="9.88671875" style="41" customWidth="1"/>
    <col min="7" max="7" width="8.5546875" style="41" customWidth="1"/>
    <col min="8" max="8" width="12.44140625" style="41" customWidth="1"/>
    <col min="9" max="9" width="9.109375" style="41"/>
    <col min="10" max="10" width="10.6640625" style="41" bestFit="1" customWidth="1"/>
    <col min="11" max="11" width="9.44140625" style="41" bestFit="1" customWidth="1"/>
    <col min="12" max="12" width="9.44140625" style="41" customWidth="1"/>
    <col min="13" max="13" width="9" style="41" customWidth="1"/>
    <col min="14" max="14" width="11.109375" style="41" customWidth="1"/>
    <col min="15" max="15" width="11.88671875" style="41" customWidth="1"/>
    <col min="16" max="17" width="9.109375" style="41"/>
    <col min="18" max="18" width="15.33203125" style="41" customWidth="1"/>
    <col min="19" max="16384" width="9.109375" style="41"/>
  </cols>
  <sheetData>
    <row r="1" spans="1:20">
      <c r="A1" s="59" t="s">
        <v>67</v>
      </c>
      <c r="B1" s="60"/>
      <c r="C1" s="60"/>
      <c r="D1" s="60"/>
      <c r="E1" s="113" t="s">
        <v>81</v>
      </c>
      <c r="F1" s="113"/>
      <c r="G1" s="113"/>
      <c r="H1" s="113"/>
      <c r="I1" s="113"/>
      <c r="J1" s="114" t="s">
        <v>82</v>
      </c>
      <c r="K1" s="114"/>
      <c r="L1" s="114"/>
      <c r="M1" s="114"/>
      <c r="N1" s="114"/>
      <c r="O1" s="114"/>
      <c r="P1" s="114"/>
      <c r="Q1" s="114"/>
      <c r="R1" s="61"/>
    </row>
    <row r="2" spans="1:20" ht="52.8">
      <c r="A2" s="62" t="s">
        <v>68</v>
      </c>
      <c r="B2" s="62" t="s">
        <v>69</v>
      </c>
      <c r="C2" s="62" t="s">
        <v>70</v>
      </c>
      <c r="D2" s="62" t="s">
        <v>71</v>
      </c>
      <c r="E2" s="63" t="s">
        <v>83</v>
      </c>
      <c r="F2" s="63" t="s">
        <v>79</v>
      </c>
      <c r="G2" s="63" t="s">
        <v>85</v>
      </c>
      <c r="H2" s="63" t="s">
        <v>86</v>
      </c>
      <c r="I2" s="63" t="s">
        <v>84</v>
      </c>
      <c r="J2" s="64" t="s">
        <v>72</v>
      </c>
      <c r="K2" s="64" t="s">
        <v>79</v>
      </c>
      <c r="L2" s="64" t="s">
        <v>91</v>
      </c>
      <c r="M2" s="64" t="s">
        <v>85</v>
      </c>
      <c r="N2" s="64" t="s">
        <v>73</v>
      </c>
      <c r="O2" s="64" t="s">
        <v>86</v>
      </c>
      <c r="P2" s="64" t="s">
        <v>74</v>
      </c>
      <c r="Q2" s="64" t="s">
        <v>75</v>
      </c>
      <c r="R2" s="60" t="s">
        <v>30</v>
      </c>
    </row>
    <row r="3" spans="1:20">
      <c r="A3" s="65" t="s">
        <v>33</v>
      </c>
      <c r="B3" s="66" t="s">
        <v>76</v>
      </c>
      <c r="C3" s="67" t="s">
        <v>77</v>
      </c>
      <c r="D3" s="68" t="s">
        <v>78</v>
      </c>
      <c r="E3" s="69">
        <v>31900</v>
      </c>
      <c r="F3" s="69">
        <f>+ROUND(E3*0.1,0)</f>
        <v>3190</v>
      </c>
      <c r="G3" s="69"/>
      <c r="H3" s="69">
        <f>+E3+F3</f>
        <v>35090</v>
      </c>
      <c r="I3" s="70">
        <v>0.05</v>
      </c>
      <c r="J3" s="69">
        <v>29000</v>
      </c>
      <c r="K3" s="69">
        <f>+ROUND(J3*0.1,0)</f>
        <v>2900</v>
      </c>
      <c r="L3" s="69"/>
      <c r="M3" s="69"/>
      <c r="N3" s="69">
        <f>ROUND((J3+K3)*0.1,0)</f>
        <v>3190</v>
      </c>
      <c r="O3" s="69">
        <f>+SUM(J3:N3)</f>
        <v>35090</v>
      </c>
      <c r="P3" s="70">
        <v>0.05</v>
      </c>
      <c r="Q3" s="70">
        <v>0.1</v>
      </c>
      <c r="R3" s="60"/>
      <c r="S3" s="42"/>
    </row>
    <row r="4" spans="1:20">
      <c r="A4" s="65" t="s">
        <v>37</v>
      </c>
      <c r="B4" s="66" t="s">
        <v>76</v>
      </c>
      <c r="C4" s="67" t="s">
        <v>77</v>
      </c>
      <c r="D4" s="68" t="s">
        <v>78</v>
      </c>
      <c r="E4" s="69">
        <v>31900</v>
      </c>
      <c r="F4" s="69">
        <f t="shared" ref="F4:F5" si="0">+ROUND(E4*0.1,0)</f>
        <v>3190</v>
      </c>
      <c r="G4" s="69"/>
      <c r="H4" s="69">
        <f>+E4+F4</f>
        <v>35090</v>
      </c>
      <c r="I4" s="70">
        <v>0.05</v>
      </c>
      <c r="J4" s="69">
        <v>29000</v>
      </c>
      <c r="K4" s="69">
        <f t="shared" ref="K4:K5" si="1">+ROUND(J4*0.1,0)</f>
        <v>2900</v>
      </c>
      <c r="L4" s="69"/>
      <c r="M4" s="69"/>
      <c r="N4" s="69">
        <f>ROUND((J4+K4)*0.1,0)</f>
        <v>3190</v>
      </c>
      <c r="O4" s="69">
        <f>+SUM(J4:N4)</f>
        <v>35090</v>
      </c>
      <c r="P4" s="70">
        <v>0.05</v>
      </c>
      <c r="Q4" s="70">
        <v>0.1</v>
      </c>
      <c r="R4" s="60"/>
      <c r="S4" s="42"/>
    </row>
    <row r="5" spans="1:20">
      <c r="A5" s="65" t="s">
        <v>36</v>
      </c>
      <c r="B5" s="66" t="s">
        <v>76</v>
      </c>
      <c r="C5" s="67" t="s">
        <v>77</v>
      </c>
      <c r="D5" s="68" t="s">
        <v>78</v>
      </c>
      <c r="E5" s="69">
        <v>31900</v>
      </c>
      <c r="F5" s="69">
        <f t="shared" si="0"/>
        <v>3190</v>
      </c>
      <c r="G5" s="69"/>
      <c r="H5" s="69">
        <f>+E5+F5</f>
        <v>35090</v>
      </c>
      <c r="I5" s="70">
        <v>0.05</v>
      </c>
      <c r="J5" s="69">
        <v>29000</v>
      </c>
      <c r="K5" s="69">
        <f t="shared" si="1"/>
        <v>2900</v>
      </c>
      <c r="L5" s="69"/>
      <c r="M5" s="69"/>
      <c r="N5" s="69">
        <f>ROUND((J5+K5)*0.1,0)</f>
        <v>3190</v>
      </c>
      <c r="O5" s="69">
        <f>+SUM(J5:N5)</f>
        <v>35090</v>
      </c>
      <c r="P5" s="70">
        <v>0.05</v>
      </c>
      <c r="Q5" s="70">
        <v>0.1</v>
      </c>
      <c r="R5" s="60"/>
      <c r="S5" s="42"/>
    </row>
    <row r="6" spans="1:20">
      <c r="A6" s="65" t="s">
        <v>40</v>
      </c>
      <c r="B6" s="66" t="s">
        <v>76</v>
      </c>
      <c r="C6" s="67" t="s">
        <v>77</v>
      </c>
      <c r="D6" s="68" t="s">
        <v>78</v>
      </c>
      <c r="E6" s="69">
        <v>21156</v>
      </c>
      <c r="F6" s="69">
        <f>+ROUND(E6*0.1,0)</f>
        <v>2116</v>
      </c>
      <c r="G6" s="69">
        <v>52</v>
      </c>
      <c r="H6" s="69">
        <f>21156+2116+52</f>
        <v>23324</v>
      </c>
      <c r="I6" s="70">
        <v>0.05</v>
      </c>
      <c r="J6" s="69">
        <v>19233</v>
      </c>
      <c r="K6" s="69">
        <f>+ROUND(J6*0.1,0)</f>
        <v>1923</v>
      </c>
      <c r="L6" s="69"/>
      <c r="M6" s="69">
        <v>52</v>
      </c>
      <c r="N6" s="69">
        <f>ROUND((J6+K6+M6)*0.1,0)</f>
        <v>2121</v>
      </c>
      <c r="O6" s="69">
        <f>+SUM(J6:N6)</f>
        <v>23329</v>
      </c>
      <c r="P6" s="70">
        <v>0.05</v>
      </c>
      <c r="Q6" s="70">
        <v>0.1</v>
      </c>
      <c r="R6" s="60"/>
      <c r="S6" s="42"/>
    </row>
    <row r="7" spans="1:20">
      <c r="A7" s="65" t="s">
        <v>32</v>
      </c>
      <c r="B7" s="66" t="s">
        <v>76</v>
      </c>
      <c r="C7" s="67" t="s">
        <v>77</v>
      </c>
      <c r="D7" s="68" t="s">
        <v>78</v>
      </c>
      <c r="E7" s="69">
        <v>24872</v>
      </c>
      <c r="F7" s="69">
        <f>+ROUND(E7*0.3,0)</f>
        <v>7462</v>
      </c>
      <c r="G7" s="69"/>
      <c r="H7" s="69">
        <f>+E7+F7</f>
        <v>32334</v>
      </c>
      <c r="I7" s="70">
        <v>0.05</v>
      </c>
      <c r="J7" s="69">
        <f>+ROUND(24872/1.1,0)</f>
        <v>22611</v>
      </c>
      <c r="K7" s="69">
        <f>+ROUND(J7*0.3,0)</f>
        <v>6783</v>
      </c>
      <c r="L7" s="69"/>
      <c r="M7" s="69"/>
      <c r="N7" s="69">
        <f>ROUND((J7+K7)*0.1,0)</f>
        <v>2939</v>
      </c>
      <c r="O7" s="69">
        <f>+SUM(J7:N7)</f>
        <v>32333</v>
      </c>
      <c r="P7" s="70">
        <v>0.05</v>
      </c>
      <c r="Q7" s="70">
        <v>0.1</v>
      </c>
      <c r="R7" s="60" t="s">
        <v>80</v>
      </c>
      <c r="S7" s="42"/>
    </row>
    <row r="8" spans="1:20">
      <c r="A8" s="65" t="s">
        <v>88</v>
      </c>
      <c r="B8" s="66" t="s">
        <v>76</v>
      </c>
      <c r="C8" s="67" t="s">
        <v>77</v>
      </c>
      <c r="D8" s="68" t="s">
        <v>78</v>
      </c>
      <c r="E8" s="69"/>
      <c r="F8" s="69"/>
      <c r="G8" s="69"/>
      <c r="H8" s="69"/>
      <c r="I8" s="70"/>
      <c r="J8" s="69">
        <v>29000</v>
      </c>
      <c r="K8" s="69">
        <f t="shared" ref="K8" si="2">+ROUND(J8*0.1,0)</f>
        <v>2900</v>
      </c>
      <c r="L8" s="69"/>
      <c r="M8" s="69"/>
      <c r="N8" s="69">
        <f>10%*(J8+K8)</f>
        <v>3190</v>
      </c>
      <c r="O8" s="69">
        <f>J8+K8+N8</f>
        <v>35090</v>
      </c>
      <c r="P8" s="70">
        <v>0.05</v>
      </c>
      <c r="Q8" s="70">
        <v>0.1</v>
      </c>
      <c r="R8" s="60"/>
      <c r="S8" s="42"/>
    </row>
    <row r="9" spans="1:20">
      <c r="A9" s="65" t="s">
        <v>89</v>
      </c>
      <c r="B9" s="66" t="s">
        <v>76</v>
      </c>
      <c r="C9" s="67" t="s">
        <v>77</v>
      </c>
      <c r="D9" s="68" t="s">
        <v>78</v>
      </c>
      <c r="E9" s="69"/>
      <c r="F9" s="69"/>
      <c r="G9" s="69"/>
      <c r="H9" s="69"/>
      <c r="I9" s="70"/>
      <c r="J9" s="69">
        <v>11429</v>
      </c>
      <c r="K9" s="69"/>
      <c r="L9" s="69"/>
      <c r="M9" s="69"/>
      <c r="N9" s="69">
        <f>10%*J9</f>
        <v>1142.9000000000001</v>
      </c>
      <c r="O9" s="69">
        <f>J9+K9+N9</f>
        <v>12571.9</v>
      </c>
      <c r="P9" s="70">
        <v>0.05</v>
      </c>
      <c r="Q9" s="70">
        <v>0.1</v>
      </c>
      <c r="R9" s="60"/>
      <c r="S9" s="42"/>
    </row>
    <row r="10" spans="1:20">
      <c r="A10" s="65" t="s">
        <v>90</v>
      </c>
      <c r="B10" s="66" t="s">
        <v>76</v>
      </c>
      <c r="C10" s="67" t="s">
        <v>77</v>
      </c>
      <c r="D10" s="68" t="s">
        <v>78</v>
      </c>
      <c r="E10" s="69"/>
      <c r="F10" s="69"/>
      <c r="G10" s="69"/>
      <c r="H10" s="69"/>
      <c r="I10" s="70"/>
      <c r="J10" s="116">
        <f>21300*1.1</f>
        <v>23430.000000000004</v>
      </c>
      <c r="K10" s="69"/>
      <c r="L10" s="69">
        <v>7668</v>
      </c>
      <c r="M10" s="69"/>
      <c r="N10" s="69">
        <f>21300*10%</f>
        <v>2130</v>
      </c>
      <c r="O10" s="69">
        <f>J10+K10+N10</f>
        <v>25560.000000000004</v>
      </c>
      <c r="P10" s="70">
        <v>0.05</v>
      </c>
      <c r="Q10" s="70">
        <v>0.1</v>
      </c>
      <c r="R10" s="60" t="s">
        <v>92</v>
      </c>
      <c r="S10" s="42"/>
      <c r="T10" s="41" t="s">
        <v>93</v>
      </c>
    </row>
    <row r="11" spans="1:20">
      <c r="A11" s="65">
        <v>88</v>
      </c>
      <c r="B11" s="66" t="s">
        <v>76</v>
      </c>
      <c r="C11" s="67" t="s">
        <v>77</v>
      </c>
      <c r="D11" s="68" t="s">
        <v>78</v>
      </c>
      <c r="E11" s="69"/>
      <c r="F11" s="69"/>
      <c r="G11" s="69"/>
      <c r="H11" s="69"/>
      <c r="I11" s="70"/>
      <c r="J11" s="69">
        <v>29000</v>
      </c>
      <c r="K11" s="69">
        <f t="shared" ref="K11" si="3">+ROUND(J11*0.1,0)</f>
        <v>2900</v>
      </c>
      <c r="L11" s="69"/>
      <c r="M11" s="69"/>
      <c r="N11" s="69">
        <v>6859</v>
      </c>
      <c r="O11" s="69">
        <f>J11+K11+N11</f>
        <v>38759</v>
      </c>
      <c r="P11" s="70">
        <v>0.05</v>
      </c>
      <c r="Q11" s="70">
        <v>0.1</v>
      </c>
      <c r="R11" s="60"/>
      <c r="S11" s="42"/>
    </row>
  </sheetData>
  <mergeCells count="2">
    <mergeCell ref="E1:I1"/>
    <mergeCell ref="J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"/>
  <sheetViews>
    <sheetView topLeftCell="A10" workbookViewId="0">
      <selection activeCell="D9" sqref="D9:D10"/>
    </sheetView>
  </sheetViews>
  <sheetFormatPr defaultColWidth="9" defaultRowHeight="14.4"/>
  <cols>
    <col min="2" max="2" width="12.109375" customWidth="1"/>
    <col min="4" max="4" width="23.6640625" customWidth="1"/>
    <col min="5" max="5" width="20.33203125" customWidth="1"/>
    <col min="6" max="13" width="18" customWidth="1"/>
  </cols>
  <sheetData>
    <row r="1" spans="1:14" ht="15" customHeight="1">
      <c r="A1" s="105" t="s">
        <v>0</v>
      </c>
      <c r="B1" s="105" t="s">
        <v>1</v>
      </c>
      <c r="C1" s="108" t="s">
        <v>2</v>
      </c>
      <c r="D1" s="105" t="s">
        <v>3</v>
      </c>
      <c r="E1" s="105" t="s">
        <v>4</v>
      </c>
      <c r="F1" s="107" t="s">
        <v>5</v>
      </c>
      <c r="G1" s="107"/>
      <c r="H1" s="107"/>
      <c r="I1" s="87" t="s">
        <v>6</v>
      </c>
      <c r="J1" s="87"/>
      <c r="K1" s="87"/>
      <c r="L1" s="87"/>
      <c r="M1" s="108" t="s">
        <v>30</v>
      </c>
    </row>
    <row r="2" spans="1:14">
      <c r="A2" s="106"/>
      <c r="B2" s="106"/>
      <c r="C2" s="108"/>
      <c r="D2" s="106"/>
      <c r="E2" s="106"/>
      <c r="F2" s="107"/>
      <c r="G2" s="107"/>
      <c r="H2" s="107"/>
      <c r="I2" s="87"/>
      <c r="J2" s="87"/>
      <c r="K2" s="87"/>
      <c r="L2" s="87"/>
      <c r="M2" s="108"/>
    </row>
    <row r="3" spans="1:14" ht="24">
      <c r="A3" s="106"/>
      <c r="B3" s="106"/>
      <c r="C3" s="108"/>
      <c r="D3" s="106"/>
      <c r="E3" s="106"/>
      <c r="F3" s="1" t="s">
        <v>8</v>
      </c>
      <c r="G3" s="2" t="s">
        <v>9</v>
      </c>
      <c r="H3" s="2" t="s">
        <v>10</v>
      </c>
      <c r="I3" s="2" t="s">
        <v>11</v>
      </c>
      <c r="J3" s="2" t="s">
        <v>8</v>
      </c>
      <c r="K3" s="2" t="s">
        <v>9</v>
      </c>
      <c r="L3" s="2" t="s">
        <v>10</v>
      </c>
      <c r="M3" s="108"/>
    </row>
    <row r="4" spans="1:14">
      <c r="A4" s="94">
        <v>1</v>
      </c>
      <c r="B4" s="94" t="s">
        <v>44</v>
      </c>
      <c r="C4" s="94" t="s">
        <v>13</v>
      </c>
      <c r="D4" s="115" t="s">
        <v>45</v>
      </c>
      <c r="E4" s="3" t="s">
        <v>19</v>
      </c>
      <c r="F4" s="4">
        <v>2013</v>
      </c>
      <c r="G4" s="5">
        <v>201</v>
      </c>
      <c r="H4" s="4">
        <f>+F4+G4</f>
        <v>2214</v>
      </c>
      <c r="I4" s="11">
        <v>4.8000000000000001E-2</v>
      </c>
      <c r="J4" s="4">
        <f>+ROUND(F4*I4,0)+F4</f>
        <v>2110</v>
      </c>
      <c r="K4" s="12">
        <f>+ROUND(J4*0.1,0)</f>
        <v>211</v>
      </c>
      <c r="L4" s="4">
        <f>+J4+K4</f>
        <v>2321</v>
      </c>
      <c r="M4" s="4" t="s">
        <v>16</v>
      </c>
      <c r="N4" s="13">
        <f>+(ROUND(H4*I4,0)+H4)-L4</f>
        <v>-1</v>
      </c>
    </row>
    <row r="5" spans="1:14">
      <c r="A5" s="95"/>
      <c r="B5" s="95"/>
      <c r="C5" s="95"/>
      <c r="D5" s="115"/>
      <c r="E5" s="3" t="s">
        <v>20</v>
      </c>
      <c r="F5" s="4">
        <v>3309</v>
      </c>
      <c r="G5" s="5">
        <v>331</v>
      </c>
      <c r="H5" s="4">
        <f t="shared" ref="H5:H14" si="0">+F5+G5</f>
        <v>3640</v>
      </c>
      <c r="I5" s="11">
        <v>4.8000000000000001E-2</v>
      </c>
      <c r="J5" s="4">
        <f t="shared" ref="J5:K12" si="1">+ROUND(F5*I5,0)+F5</f>
        <v>3468</v>
      </c>
      <c r="K5" s="12">
        <f t="shared" ref="K5:K7" si="2">+ROUND(J5*0.1,0)</f>
        <v>347</v>
      </c>
      <c r="L5" s="4">
        <f t="shared" ref="L5:L14" si="3">+J5+K5</f>
        <v>3815</v>
      </c>
      <c r="M5" s="4" t="s">
        <v>16</v>
      </c>
      <c r="N5" s="13">
        <f t="shared" ref="N5:N12" si="4">+(ROUND(H5*I5,0)+H5)-L5</f>
        <v>0</v>
      </c>
    </row>
    <row r="6" spans="1:14">
      <c r="A6" s="95"/>
      <c r="B6" s="95"/>
      <c r="C6" s="95"/>
      <c r="D6" s="115"/>
      <c r="E6" s="3" t="s">
        <v>21</v>
      </c>
      <c r="F6" s="4">
        <v>5691</v>
      </c>
      <c r="G6" s="5">
        <v>569</v>
      </c>
      <c r="H6" s="4">
        <f t="shared" si="0"/>
        <v>6260</v>
      </c>
      <c r="I6" s="11">
        <v>4.8000000000000001E-2</v>
      </c>
      <c r="J6" s="4">
        <f t="shared" si="1"/>
        <v>5964</v>
      </c>
      <c r="K6" s="12">
        <f t="shared" si="2"/>
        <v>596</v>
      </c>
      <c r="L6" s="4">
        <f t="shared" si="3"/>
        <v>6560</v>
      </c>
      <c r="M6" s="4" t="s">
        <v>16</v>
      </c>
      <c r="N6" s="13">
        <f t="shared" si="4"/>
        <v>0</v>
      </c>
    </row>
    <row r="7" spans="1:14" ht="32.4">
      <c r="A7" s="95"/>
      <c r="B7" s="95"/>
      <c r="C7" s="95"/>
      <c r="D7" s="3" t="s">
        <v>46</v>
      </c>
      <c r="E7" s="3" t="s">
        <v>47</v>
      </c>
      <c r="F7" s="4">
        <v>3794</v>
      </c>
      <c r="G7" s="5">
        <v>379</v>
      </c>
      <c r="H7" s="4">
        <f t="shared" si="0"/>
        <v>4173</v>
      </c>
      <c r="I7" s="11">
        <v>4.8000000000000001E-2</v>
      </c>
      <c r="J7" s="4">
        <f t="shared" si="1"/>
        <v>3976</v>
      </c>
      <c r="K7" s="12">
        <f t="shared" si="2"/>
        <v>398</v>
      </c>
      <c r="L7" s="4">
        <f t="shared" si="3"/>
        <v>4374</v>
      </c>
      <c r="M7" s="4" t="s">
        <v>16</v>
      </c>
      <c r="N7" s="13">
        <f t="shared" si="4"/>
        <v>-1</v>
      </c>
    </row>
    <row r="8" spans="1:14" ht="43.2">
      <c r="A8" s="96"/>
      <c r="B8" s="96"/>
      <c r="C8" s="96"/>
      <c r="D8" s="3" t="s">
        <v>57</v>
      </c>
      <c r="E8" s="3" t="s">
        <v>48</v>
      </c>
      <c r="F8" s="4">
        <v>3949</v>
      </c>
      <c r="G8" s="6">
        <v>0</v>
      </c>
      <c r="H8" s="4">
        <f t="shared" si="0"/>
        <v>3949</v>
      </c>
      <c r="I8" s="11">
        <v>4.8000000000000001E-2</v>
      </c>
      <c r="J8" s="4">
        <f t="shared" si="1"/>
        <v>4139</v>
      </c>
      <c r="K8" s="4">
        <f t="shared" ref="K8:K11" si="5">+ROUND(G8*I8,0)+G8</f>
        <v>0</v>
      </c>
      <c r="L8" s="4">
        <f t="shared" si="3"/>
        <v>4139</v>
      </c>
      <c r="M8" s="4" t="s">
        <v>16</v>
      </c>
      <c r="N8" s="13">
        <f t="shared" si="4"/>
        <v>0</v>
      </c>
    </row>
    <row r="9" spans="1:14" ht="21.6">
      <c r="A9" s="94">
        <v>2</v>
      </c>
      <c r="B9" s="94" t="s">
        <v>37</v>
      </c>
      <c r="C9" s="94" t="s">
        <v>13</v>
      </c>
      <c r="D9" s="3" t="s">
        <v>49</v>
      </c>
      <c r="E9" s="3" t="s">
        <v>50</v>
      </c>
      <c r="F9" s="4">
        <v>3949</v>
      </c>
      <c r="G9" s="7">
        <v>0</v>
      </c>
      <c r="H9" s="4">
        <f t="shared" si="0"/>
        <v>3949</v>
      </c>
      <c r="I9" s="11">
        <v>4.8000000000000001E-2</v>
      </c>
      <c r="J9" s="4">
        <f t="shared" si="1"/>
        <v>4139</v>
      </c>
      <c r="K9" s="4">
        <f t="shared" si="5"/>
        <v>0</v>
      </c>
      <c r="L9" s="4">
        <f t="shared" si="3"/>
        <v>4139</v>
      </c>
      <c r="M9" s="4" t="s">
        <v>16</v>
      </c>
      <c r="N9" s="13">
        <f t="shared" si="4"/>
        <v>0</v>
      </c>
    </row>
    <row r="10" spans="1:14" ht="21.6">
      <c r="A10" s="96"/>
      <c r="B10" s="96"/>
      <c r="C10" s="96"/>
      <c r="D10" s="3" t="s">
        <v>51</v>
      </c>
      <c r="E10" s="3" t="s">
        <v>50</v>
      </c>
      <c r="F10" s="4">
        <v>3949</v>
      </c>
      <c r="G10" s="7">
        <v>0</v>
      </c>
      <c r="H10" s="4">
        <f t="shared" si="0"/>
        <v>3949</v>
      </c>
      <c r="I10" s="11">
        <v>4.8000000000000001E-2</v>
      </c>
      <c r="J10" s="4">
        <f t="shared" si="1"/>
        <v>4139</v>
      </c>
      <c r="K10" s="4">
        <f t="shared" si="5"/>
        <v>0</v>
      </c>
      <c r="L10" s="4">
        <f t="shared" si="3"/>
        <v>4139</v>
      </c>
      <c r="M10" s="4" t="s">
        <v>16</v>
      </c>
      <c r="N10" s="13">
        <f t="shared" si="4"/>
        <v>0</v>
      </c>
    </row>
    <row r="11" spans="1:14" ht="21.6">
      <c r="A11" s="94">
        <v>3</v>
      </c>
      <c r="B11" s="94" t="s">
        <v>33</v>
      </c>
      <c r="C11" s="9" t="s">
        <v>13</v>
      </c>
      <c r="D11" s="3" t="s">
        <v>51</v>
      </c>
      <c r="E11" s="3" t="s">
        <v>50</v>
      </c>
      <c r="F11" s="4">
        <v>3873</v>
      </c>
      <c r="G11" s="7">
        <v>0</v>
      </c>
      <c r="H11" s="4">
        <f t="shared" si="0"/>
        <v>3873</v>
      </c>
      <c r="I11" s="11">
        <v>4.8000000000000001E-2</v>
      </c>
      <c r="J11" s="4">
        <f t="shared" si="1"/>
        <v>4059</v>
      </c>
      <c r="K11" s="4">
        <f t="shared" si="5"/>
        <v>0</v>
      </c>
      <c r="L11" s="4">
        <f t="shared" si="3"/>
        <v>4059</v>
      </c>
      <c r="M11" s="4" t="s">
        <v>16</v>
      </c>
      <c r="N11" s="13">
        <f t="shared" si="4"/>
        <v>0</v>
      </c>
    </row>
    <row r="12" spans="1:14" ht="21.6">
      <c r="A12" s="96"/>
      <c r="B12" s="96"/>
      <c r="C12" s="10"/>
      <c r="D12" s="3" t="s">
        <v>52</v>
      </c>
      <c r="E12" s="3" t="s">
        <v>50</v>
      </c>
      <c r="F12" s="4">
        <v>3873</v>
      </c>
      <c r="G12" s="7">
        <v>0</v>
      </c>
      <c r="H12" s="4">
        <f t="shared" si="0"/>
        <v>3873</v>
      </c>
      <c r="I12" s="11">
        <v>4.8000000000000001E-2</v>
      </c>
      <c r="J12" s="4">
        <f t="shared" si="1"/>
        <v>4059</v>
      </c>
      <c r="K12" s="4">
        <f t="shared" si="1"/>
        <v>0</v>
      </c>
      <c r="L12" s="4">
        <f t="shared" si="3"/>
        <v>4059</v>
      </c>
      <c r="M12" s="4" t="s">
        <v>16</v>
      </c>
      <c r="N12" s="13">
        <f t="shared" si="4"/>
        <v>0</v>
      </c>
    </row>
    <row r="13" spans="1:14" ht="21.6">
      <c r="A13" s="94">
        <v>4</v>
      </c>
      <c r="B13" s="94" t="s">
        <v>53</v>
      </c>
      <c r="C13" s="9" t="s">
        <v>13</v>
      </c>
      <c r="D13" s="3" t="s">
        <v>54</v>
      </c>
      <c r="E13" s="3" t="s">
        <v>50</v>
      </c>
      <c r="F13" s="4">
        <v>3184</v>
      </c>
      <c r="G13" s="7">
        <v>0</v>
      </c>
      <c r="H13" s="4">
        <f t="shared" si="0"/>
        <v>3184</v>
      </c>
      <c r="I13" s="11">
        <v>4.8000000000000001E-2</v>
      </c>
      <c r="J13" s="4">
        <f t="shared" ref="J13:K15" si="6">+ROUND(F13*I13,0)+F13</f>
        <v>3337</v>
      </c>
      <c r="K13" s="4">
        <f t="shared" si="6"/>
        <v>0</v>
      </c>
      <c r="L13" s="4">
        <f t="shared" si="3"/>
        <v>3337</v>
      </c>
      <c r="M13" s="4" t="s">
        <v>16</v>
      </c>
      <c r="N13" s="13"/>
    </row>
    <row r="14" spans="1:14" ht="21.6">
      <c r="A14" s="95"/>
      <c r="B14" s="95"/>
      <c r="C14" s="9" t="s">
        <v>13</v>
      </c>
      <c r="D14" s="3" t="s">
        <v>55</v>
      </c>
      <c r="E14" s="3" t="s">
        <v>50</v>
      </c>
      <c r="F14" s="4">
        <v>3184</v>
      </c>
      <c r="G14" s="7">
        <v>0</v>
      </c>
      <c r="H14" s="4">
        <f t="shared" si="0"/>
        <v>3184</v>
      </c>
      <c r="I14" s="11">
        <v>4.8000000000000001E-2</v>
      </c>
      <c r="J14" s="4">
        <f t="shared" si="6"/>
        <v>3337</v>
      </c>
      <c r="K14" s="4">
        <f t="shared" si="6"/>
        <v>0</v>
      </c>
      <c r="L14" s="4">
        <f t="shared" si="3"/>
        <v>3337</v>
      </c>
      <c r="M14" s="4" t="s">
        <v>16</v>
      </c>
      <c r="N14" s="13"/>
    </row>
    <row r="15" spans="1:14" ht="27.75" customHeight="1">
      <c r="A15" s="96"/>
      <c r="B15" s="96"/>
      <c r="C15" s="9" t="s">
        <v>13</v>
      </c>
      <c r="D15" s="3" t="s">
        <v>56</v>
      </c>
      <c r="E15" s="3" t="s">
        <v>50</v>
      </c>
      <c r="F15" s="4">
        <v>3184</v>
      </c>
      <c r="G15" s="7">
        <v>0</v>
      </c>
      <c r="H15" s="4">
        <f>+F15+G15</f>
        <v>3184</v>
      </c>
      <c r="I15" s="11">
        <v>4.8000000000000001E-2</v>
      </c>
      <c r="J15" s="4">
        <f t="shared" si="6"/>
        <v>3337</v>
      </c>
      <c r="K15" s="4">
        <f t="shared" si="6"/>
        <v>0</v>
      </c>
      <c r="L15" s="4">
        <f>+J15+K15</f>
        <v>3337</v>
      </c>
      <c r="M15" s="4" t="s">
        <v>16</v>
      </c>
      <c r="N15" s="14"/>
    </row>
  </sheetData>
  <mergeCells count="19">
    <mergeCell ref="B13:B15"/>
    <mergeCell ref="A1:A3"/>
    <mergeCell ref="A4:A8"/>
    <mergeCell ref="A9:A10"/>
    <mergeCell ref="A13:A15"/>
    <mergeCell ref="A11:A12"/>
    <mergeCell ref="E1:E3"/>
    <mergeCell ref="M1:M3"/>
    <mergeCell ref="I1:L2"/>
    <mergeCell ref="F1:H2"/>
    <mergeCell ref="B11:B12"/>
    <mergeCell ref="C1:C3"/>
    <mergeCell ref="C4:C8"/>
    <mergeCell ref="C9:C10"/>
    <mergeCell ref="D1:D3"/>
    <mergeCell ref="D4:D6"/>
    <mergeCell ref="B1:B3"/>
    <mergeCell ref="B4:B8"/>
    <mergeCell ref="B9:B10"/>
  </mergeCells>
  <pageMargins left="0.7" right="0.7" top="0.75" bottom="0.75" header="0.3" footer="0.3"/>
  <pageSetup paperSize="9" scale="62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523FB587ACBE4842A0FFB3DA72C43B8F" ma:contentTypeVersion="16" ma:contentTypeDescription="Tạo tài liệu mới." ma:contentTypeScope="" ma:versionID="8bb9857113129344de72e0f4183d8b1f">
  <xsd:schema xmlns:xsd="http://www.w3.org/2001/XMLSchema" xmlns:xs="http://www.w3.org/2001/XMLSchema" xmlns:p="http://schemas.microsoft.com/office/2006/metadata/properties" xmlns:ns2="96f150f2-a6b5-4779-ac10-71e23226ba94" xmlns:ns3="b51ecae0-c6ab-4318-8087-bc30373d86da" targetNamespace="http://schemas.microsoft.com/office/2006/metadata/properties" ma:root="true" ma:fieldsID="052953b0c279a41ececbaf680271c5f4" ns2:_="" ns3:_="">
    <xsd:import namespace="96f150f2-a6b5-4779-ac10-71e23226ba94"/>
    <xsd:import namespace="b51ecae0-c6ab-4318-8087-bc30373d8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150f2-a6b5-4779-ac10-71e23226b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e3e14b47-9f23-4fc4-9fcf-462ad32a19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cae0-c6ab-4318-8087-bc30373d86d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5bdc25-9b70-4b0f-912a-2b6067cb5327}" ma:internalName="TaxCatchAll" ma:showField="CatchAllData" ma:web="b51ecae0-c6ab-4318-8087-bc30373d86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cae0-c6ab-4318-8087-bc30373d86da" xsi:nil="true"/>
    <lcf76f155ced4ddcb4097134ff3c332f xmlns="96f150f2-a6b5-4779-ac10-71e23226ba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934B18-C110-4835-A395-73D3EAB5DDB3}"/>
</file>

<file path=customXml/itemProps2.xml><?xml version="1.0" encoding="utf-8"?>
<ds:datastoreItem xmlns:ds="http://schemas.openxmlformats.org/officeDocument/2006/customXml" ds:itemID="{7D00520A-8DA5-4238-BA1C-700DF3668926}"/>
</file>

<file path=customXml/itemProps3.xml><?xml version="1.0" encoding="utf-8"?>
<ds:datastoreItem xmlns:ds="http://schemas.openxmlformats.org/officeDocument/2006/customXml" ds:itemID="{324F13EB-2BD5-4BE1-8F80-8AB29389F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KNO</vt:lpstr>
      <vt:lpstr>VPTTTM</vt:lpstr>
      <vt:lpstr>Nước</vt:lpstr>
      <vt:lpstr>KCT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 Pham Thi Thanh (TNPM-KT TTTM&amp;TNVP)</dc:creator>
  <cp:lastModifiedBy>Duc Nguyen Tho Tri (TNPM-GMC CSKH)</cp:lastModifiedBy>
  <cp:lastPrinted>2024-10-15T07:32:00Z</cp:lastPrinted>
  <dcterms:created xsi:type="dcterms:W3CDTF">2024-10-15T02:07:00Z</dcterms:created>
  <dcterms:modified xsi:type="dcterms:W3CDTF">2026-03-31T02:27:28Z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000C0AAB0A1A4992BA435A0809C8FDD7_12</vt:lpwstr>
  </property>
  <property fmtid="{D5CDD505-2E9C-101B-9397-08002B2CF9AE}" pid="3" name="KSOProductBuildVer">
    <vt:lpwstr>1033-12.2.0.20795</vt:lpwstr>
  </property>
  <property fmtid="{D5CDD505-2E9C-101B-9397-08002B2CF9AE}" pid="4" name="ContentTypeId">
    <vt:lpwstr>0x010100523FB587ACBE4842A0FFB3DA72C43B8F</vt:lpwstr>
  </property>
</Properties>
</file>