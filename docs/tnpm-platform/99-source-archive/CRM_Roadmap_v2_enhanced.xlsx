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" sheetId="1" state="visible" r:id="rId1"/>
    <sheet xmlns:r="http://schemas.openxmlformats.org/officeDocument/2006/relationships" name="Tổng quan" sheetId="2" state="visible" r:id="rId2"/>
    <sheet xmlns:r="http://schemas.openxmlformats.org/officeDocument/2006/relationships" name="Nguồn lực" sheetId="3" state="visible" r:id="rId3"/>
    <sheet xmlns:r="http://schemas.openxmlformats.org/officeDocument/2006/relationships" name="Rủi ro" sheetId="4" state="visible" r:id="rId4"/>
    <sheet xmlns:r="http://schemas.openxmlformats.org/officeDocument/2006/relationships" name="Checklist" sheetId="5" state="visible" r:id="rId5"/>
    <sheet xmlns:r="http://schemas.openxmlformats.org/officeDocument/2006/relationships" name="Quy ước" sheetId="6" state="visible" r:id="rId6"/>
    <sheet xmlns:r="http://schemas.openxmlformats.org/officeDocument/2006/relationships" name="Ngày l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3A5F"/>
      <sz val="10"/>
    </font>
    <font>
      <b val="1"/>
      <color rgb="FF1F3A5F"/>
    </font>
    <font>
      <b val="1"/>
      <color rgb="FF1F3A5F"/>
      <sz val="13"/>
    </font>
    <font>
      <b val="1"/>
    </font>
    <font>
      <b val="1"/>
      <color rgb="FFFFFFFF"/>
      <sz val="14"/>
    </font>
    <font>
      <b val="1"/>
      <color rgb="FFFFFFFF"/>
    </font>
    <font>
      <i val="1"/>
      <color rgb="FF555555"/>
    </font>
  </fonts>
  <fills count="11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3B6EA5"/>
      </patternFill>
    </fill>
    <fill>
      <patternFill patternType="solid">
        <fgColor rgb="FFE8F0FA"/>
      </patternFill>
    </fill>
    <fill>
      <patternFill patternType="solid">
        <fgColor rgb="FFFFF4E6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59D"/>
      </patternFill>
    </fill>
    <fill>
      <patternFill patternType="solid">
        <fgColor rgb="FFFFCDD2"/>
      </patternFill>
    </fill>
    <fill>
      <patternFill patternType="solid">
        <fgColor rgb="FFC8E6C9"/>
      </patternFill>
    </fill>
  </fills>
  <borders count="9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right/>
      <top/>
      <bottom/>
      <diagonal/>
    </border>
    <border>
      <left style="thin">
        <color rgb="FFB0BEC5"/>
      </left>
      <right style="thin">
        <color rgb="FFB0BEC5"/>
      </right>
      <top/>
      <bottom/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/>
      <right/>
      <top style="thin">
        <color rgb="FFB0BEC5"/>
      </top>
      <bottom/>
      <diagonal/>
    </border>
    <border>
      <left/>
      <right style="thin">
        <color rgb="FFB0BEC5"/>
      </right>
      <top style="thin">
        <color rgb="FFB0BEC5"/>
      </top>
      <bottom/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9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FFC8E6C9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TNTECH</author>
  </authors>
  <commentList>
    <comment ref="D2" authorId="0" shapeId="0">
      <text>
        <t>Definition of Done: điều kiện đo lường được để coi là hoàn thành.</t>
      </text>
    </comment>
    <comment ref="E2" authorId="0" shapeId="0">
      <text>
        <t>P0: Blocker (không xong thì phase sau không chạy được)
P1: Must-have Phase 1
P2: Should-have
P3: Nice-to-have</t>
      </text>
    </comment>
    <comment ref="N2" authorId="0" shapeId="0">
      <text>
        <t>Liệt kê rõ phụ thuộc: hạng mục khác, bên thứ 3, tài liệu.</t>
      </text>
    </comment>
    <comment ref="O2" authorId="0" shapeId="0">
      <text>
        <t>Rủi ro cao nhất + phương án giảm thiểu (nếu có).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40" customWidth="1" min="4" max="4"/>
    <col width="10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  <col width="26" customWidth="1" min="14" max="14"/>
    <col width="30" customWidth="1" min="15" max="15"/>
    <col width="14" customWidth="1" min="16" max="16"/>
    <col width="10" customWidth="1" min="17" max="17"/>
    <col width="30" customWidth="1" min="18" max="18"/>
  </cols>
  <sheetData>
    <row r="1" ht="34" customHeight="1">
      <c r="A1" s="1" t="inlineStr">
        <is>
          <t>KẾ HOẠCH TRIỂN KHAI CRM TNPM — PHASE 1  (v2 / 21-04-2026)</t>
        </is>
      </c>
    </row>
    <row r="2" ht="28" customHeight="1">
      <c r="A2" s="2" t="inlineStr">
        <is>
          <t>STT</t>
        </is>
      </c>
      <c r="B2" s="2" t="inlineStr">
        <is>
          <t>Phase</t>
        </is>
      </c>
      <c r="C2" s="2" t="inlineStr">
        <is>
          <t>Hạng mục</t>
        </is>
      </c>
      <c r="D2" s="2" t="inlineStr">
        <is>
          <t>Mục tiêu / DoD</t>
        </is>
      </c>
      <c r="E2" s="2" t="inlineStr">
        <is>
          <t>Độ ưu tiên</t>
        </is>
      </c>
      <c r="F2" s="2" t="inlineStr">
        <is>
          <t>TNPM (Bên A)</t>
        </is>
      </c>
      <c r="G2" s="30" t="n"/>
      <c r="H2" s="30" t="n"/>
      <c r="I2" s="31" t="n"/>
      <c r="J2" s="2" t="inlineStr">
        <is>
          <t>TNTECH (Bên B)</t>
        </is>
      </c>
      <c r="K2" s="30" t="n"/>
      <c r="L2" s="30" t="n"/>
      <c r="M2" s="31" t="n"/>
      <c r="N2" s="2" t="inlineStr">
        <is>
          <t>Phụ thuộc</t>
        </is>
      </c>
      <c r="O2" s="2" t="inlineStr">
        <is>
          <t>Rủi ro</t>
        </is>
      </c>
      <c r="P2" s="2" t="inlineStr">
        <is>
          <t>Trạng thái</t>
        </is>
      </c>
      <c r="Q2" s="2" t="inlineStr">
        <is>
          <t>% Hoàn thành</t>
        </is>
      </c>
      <c r="R2" s="2" t="inlineStr">
        <is>
          <t>Ghi chú / Link</t>
        </is>
      </c>
    </row>
    <row r="3" ht="22" customHeight="1">
      <c r="A3" s="14" t="n"/>
      <c r="B3" s="14" t="n"/>
      <c r="C3" s="14" t="n"/>
      <c r="D3" s="14" t="n"/>
      <c r="E3" s="14" t="n"/>
      <c r="F3" s="3" t="inlineStr">
        <is>
          <t>Chủ trì</t>
        </is>
      </c>
      <c r="G3" s="3" t="inlineStr">
        <is>
          <t>Phối hợp</t>
        </is>
      </c>
      <c r="H3" s="3" t="inlineStr">
        <is>
          <t>Bắt đầu</t>
        </is>
      </c>
      <c r="I3" s="3" t="inlineStr">
        <is>
          <t>Hoàn thành</t>
        </is>
      </c>
      <c r="J3" s="3" t="inlineStr">
        <is>
          <t>Chủ trì</t>
        </is>
      </c>
      <c r="K3" s="3" t="inlineStr">
        <is>
          <t>Phối hợp</t>
        </is>
      </c>
      <c r="L3" s="3" t="inlineStr">
        <is>
          <t>Bắt đầu</t>
        </is>
      </c>
      <c r="M3" s="3" t="inlineStr">
        <is>
          <t>Hoàn thành</t>
        </is>
      </c>
      <c r="N3" s="14" t="n"/>
      <c r="O3" s="14" t="n"/>
      <c r="P3" s="14" t="n"/>
      <c r="Q3" s="14" t="n"/>
      <c r="R3" s="14" t="n"/>
    </row>
    <row r="4" ht="42" customHeight="1">
      <c r="A4" s="4" t="n">
        <v>1</v>
      </c>
      <c r="B4" s="5" t="inlineStr">
        <is>
          <t>Phase 0: Chuẩn bị hạ tầng</t>
        </is>
      </c>
      <c r="C4" s="6" t="inlineStr">
        <is>
          <t>Ký hợp đồng dịch vụ giữa TNPM ↔ TNTECH + NDA</t>
        </is>
      </c>
      <c r="D4" s="6" t="inlineStr">
        <is>
          <t>Hợp đồng ký, SOW chốt scope Phase 1</t>
        </is>
      </c>
      <c r="E4" s="4" t="inlineStr">
        <is>
          <t>P0</t>
        </is>
      </c>
      <c r="F4" s="7" t="inlineStr">
        <is>
          <t>Trung</t>
        </is>
      </c>
      <c r="G4" s="7" t="inlineStr">
        <is>
          <t>Thịnh (Pháp chế)</t>
        </is>
      </c>
      <c r="H4" s="32" t="n">
        <v>46132</v>
      </c>
      <c r="I4" s="32" t="n">
        <v>46136</v>
      </c>
      <c r="J4" s="9" t="inlineStr">
        <is>
          <t>Dũng</t>
        </is>
      </c>
      <c r="K4" s="9" t="inlineStr">
        <is>
          <t>PM, Pháp chế TNTECH</t>
        </is>
      </c>
      <c r="L4" s="33" t="n">
        <v>46132</v>
      </c>
      <c r="M4" s="33" t="n">
        <v>46136</v>
      </c>
      <c r="N4" s="6" t="inlineStr">
        <is>
          <t>—</t>
        </is>
      </c>
      <c r="O4" s="11" t="inlineStr">
        <is>
          <t>Chậm ký → chậm provisioning toàn bộ Phase 1</t>
        </is>
      </c>
      <c r="P4" s="4" t="inlineStr">
        <is>
          <t>Todo</t>
        </is>
      </c>
      <c r="Q4" s="12" t="n">
        <v>0</v>
      </c>
      <c r="R4" s="6" t="inlineStr">
        <is>
          <t>Phải xong trước khi provisioning</t>
        </is>
      </c>
    </row>
    <row r="5" ht="42" customHeight="1">
      <c r="A5" s="13" t="n"/>
      <c r="B5" s="13" t="n"/>
      <c r="C5" s="6" t="inlineStr">
        <is>
          <t>Cấu hình tenant TNPM (subdomain, SSL, branding) — core đa tenant đã có sẵn</t>
        </is>
      </c>
      <c r="D5" s="6" t="inlineStr">
        <is>
          <t>tnpm.reborn.vn live, login được, branding TNPM áp dụng</t>
        </is>
      </c>
      <c r="E5" s="4" t="inlineStr">
        <is>
          <t>P0</t>
        </is>
      </c>
      <c r="F5" s="7" t="inlineStr">
        <is>
          <t>Trung</t>
        </is>
      </c>
      <c r="G5" s="7" t="inlineStr">
        <is>
          <t>—</t>
        </is>
      </c>
      <c r="H5" s="32" t="n">
        <v>46134</v>
      </c>
      <c r="I5" s="32" t="n">
        <v>46136</v>
      </c>
      <c r="J5" s="9" t="inlineStr">
        <is>
          <t>Dũng</t>
        </is>
      </c>
      <c r="K5" s="9" t="inlineStr">
        <is>
          <t>DevOps, BE IAM</t>
        </is>
      </c>
      <c r="L5" s="33" t="n">
        <v>46134</v>
      </c>
      <c r="M5" s="33" t="n">
        <v>46136</v>
      </c>
      <c r="N5" s="6" t="inlineStr">
        <is>
          <t>Hợp đồng ký</t>
        </is>
      </c>
      <c r="O5" s="11" t="inlineStr">
        <is>
          <t>Chứng chỉ SSL, DNS propagate chậm</t>
        </is>
      </c>
      <c r="P5" s="4" t="inlineStr">
        <is>
          <t>Todo</t>
        </is>
      </c>
      <c r="Q5" s="12" t="n">
        <v>0</v>
      </c>
      <c r="R5" s="6" t="inlineStr">
        <is>
          <t>Reuse core có sẵn, chỉ cấu hình tenant-specific</t>
        </is>
      </c>
    </row>
    <row r="6" ht="42" customHeight="1">
      <c r="A6" s="14" t="n"/>
      <c r="B6" s="14" t="n"/>
      <c r="C6" s="6" t="inlineStr">
        <is>
          <t>Seed danh mục gốc (feeType, paymentMethod, projectType, role)</t>
        </is>
      </c>
      <c r="D6" s="6" t="inlineStr">
        <is>
          <t>Tất cả combobox có data, không còn placeholder</t>
        </is>
      </c>
      <c r="E6" s="4" t="inlineStr">
        <is>
          <t>P0</t>
        </is>
      </c>
      <c r="F6" s="7" t="inlineStr">
        <is>
          <t>Thiểm</t>
        </is>
      </c>
      <c r="G6" s="7" t="inlineStr">
        <is>
          <t>Tú, Đức TTTM</t>
        </is>
      </c>
      <c r="H6" s="32" t="n">
        <v>46135</v>
      </c>
      <c r="I6" s="32" t="n">
        <v>46136</v>
      </c>
      <c r="J6" s="9" t="inlineStr">
        <is>
          <t>Dũng</t>
        </is>
      </c>
      <c r="K6" s="9" t="inlineStr">
        <is>
          <t>BE Customer, FE</t>
        </is>
      </c>
      <c r="L6" s="33" t="n">
        <v>46140</v>
      </c>
      <c r="M6" s="33" t="n">
        <v>46141</v>
      </c>
      <c r="N6" s="6" t="inlineStr">
        <is>
          <t>Provisioning tenant</t>
        </is>
      </c>
      <c r="O6" s="11" t="inlineStr">
        <is>
          <t>Danh mục không đồng bộ giữa các project</t>
        </is>
      </c>
      <c r="P6" s="4" t="inlineStr">
        <is>
          <t>Todo</t>
        </is>
      </c>
      <c r="Q6" s="12" t="n">
        <v>0</v>
      </c>
      <c r="R6" s="6" t="inlineStr">
        <is>
          <t>Template CSV có sẵn ở docs/</t>
        </is>
      </c>
    </row>
    <row r="7" ht="42" customHeight="1">
      <c r="A7" s="4" t="n">
        <v>2</v>
      </c>
      <c r="B7" s="5" t="inlineStr">
        <is>
          <t>Phase 1: CRM + HĐ DV</t>
        </is>
      </c>
      <c r="C7" s="6" t="inlineStr">
        <is>
          <t>Thông tin Site (tên, địa chỉ, liên hệ)</t>
        </is>
      </c>
      <c r="D7" s="6" t="inlineStr">
        <is>
          <t>100% site có record trong PropertyProject; audit log ghi nhận</t>
        </is>
      </c>
      <c r="E7" s="4" t="inlineStr">
        <is>
          <t>P1</t>
        </is>
      </c>
      <c r="F7" s="7" t="inlineStr">
        <is>
          <t>Trung</t>
        </is>
      </c>
      <c r="G7" s="7" t="inlineStr">
        <is>
          <t>Đức TTTM, Tú</t>
        </is>
      </c>
      <c r="H7" s="32" t="n">
        <v>46132</v>
      </c>
      <c r="I7" s="32" t="n">
        <v>46136</v>
      </c>
      <c r="J7" s="9" t="inlineStr">
        <is>
          <t>Dũng</t>
        </is>
      </c>
      <c r="K7" s="9" t="inlineStr">
        <is>
          <t>BE Customer, FE</t>
        </is>
      </c>
      <c r="L7" s="33" t="n">
        <v>46140</v>
      </c>
      <c r="M7" s="33" t="n">
        <v>46146</v>
      </c>
      <c r="N7" s="6" t="inlineStr">
        <is>
          <t>Phase 0 xong</t>
        </is>
      </c>
      <c r="O7" s="11" t="inlineStr">
        <is>
          <t>Dữ liệu thiếu GPS/liên hệ → wizard bắt buộc</t>
        </is>
      </c>
      <c r="P7" s="4" t="inlineStr">
        <is>
          <t>Todo</t>
        </is>
      </c>
      <c r="Q7" s="12" t="n">
        <v>0</v>
      </c>
      <c r="R7" s="6" t="inlineStr">
        <is>
          <t>[PILOT] Chỉ seed project thuộc Khu dân cư (Chung cư + Nhà TT)</t>
        </is>
      </c>
    </row>
    <row r="8" ht="42" customHeight="1">
      <c r="A8" s="13" t="n"/>
      <c r="B8" s="13" t="n"/>
      <c r="C8" s="6" t="inlineStr">
        <is>
          <t>Khởi tạo quản trị Site (BQL, phân quyền phòng ban)</t>
        </is>
      </c>
      <c r="D8" s="6" t="inlineStr">
        <is>
          <t>Mỗi Site có tối thiểu 1 BQL login + 3 role (quản lý, thu ngân, kỹ thuật)</t>
        </is>
      </c>
      <c r="E8" s="4" t="inlineStr">
        <is>
          <t>P1</t>
        </is>
      </c>
      <c r="F8" s="7" t="inlineStr">
        <is>
          <t>Thiểm</t>
        </is>
      </c>
      <c r="G8" s="7" t="inlineStr">
        <is>
          <t>Đức TTTM</t>
        </is>
      </c>
      <c r="H8" s="32" t="n">
        <v>46132</v>
      </c>
      <c r="I8" s="32" t="n">
        <v>46136</v>
      </c>
      <c r="J8" s="9" t="inlineStr">
        <is>
          <t>Dũng</t>
        </is>
      </c>
      <c r="K8" s="9" t="inlineStr">
        <is>
          <t>BE IAM, FE Permission</t>
        </is>
      </c>
      <c r="L8" s="33" t="n">
        <v>46140</v>
      </c>
      <c r="M8" s="33" t="n">
        <v>46146</v>
      </c>
      <c r="N8" s="6" t="inlineStr">
        <is>
          <t>Provisioning tenant</t>
        </is>
      </c>
      <c r="O8" s="11" t="inlineStr">
        <is>
          <t>Role matrix chưa chuẩn hóa giữa site</t>
        </is>
      </c>
      <c r="P8" s="4" t="inlineStr">
        <is>
          <t>Todo</t>
        </is>
      </c>
      <c r="Q8" s="12" t="n">
        <v>0</v>
      </c>
      <c r="R8" s="6" t="inlineStr">
        <is>
          <t>Role template ở IAM service</t>
        </is>
      </c>
    </row>
    <row r="9" ht="42" customHeight="1">
      <c r="A9" s="13" t="n"/>
      <c r="B9" s="13" t="n"/>
      <c r="C9" s="6" t="inlineStr">
        <is>
          <t>DS khách hàng (xuất OneS + KH mới)</t>
        </is>
      </c>
      <c r="D9" s="6" t="inlineStr">
        <is>
          <t>Dữ liệu KH nhập đủ, trùng lặp &lt; 0.5%, rate lỗi &lt; 1%</t>
        </is>
      </c>
      <c r="E9" s="4" t="inlineStr">
        <is>
          <t>P1</t>
        </is>
      </c>
      <c r="F9" s="7" t="inlineStr">
        <is>
          <t>Thịnh</t>
        </is>
      </c>
      <c r="G9" s="7" t="inlineStr">
        <is>
          <t>Kiên</t>
        </is>
      </c>
      <c r="H9" s="32" t="n">
        <v>46132</v>
      </c>
      <c r="I9" s="32" t="n">
        <v>46136</v>
      </c>
      <c r="J9" s="9" t="inlineStr">
        <is>
          <t>Dũng</t>
        </is>
      </c>
      <c r="K9" s="9" t="inlineStr">
        <is>
          <t>BE Customer, Data Eng</t>
        </is>
      </c>
      <c r="L9" s="33" t="n">
        <v>46140</v>
      </c>
      <c r="M9" s="33" t="n">
        <v>46147</v>
      </c>
      <c r="N9" s="6" t="inlineStr">
        <is>
          <t>OneS export, CSV template</t>
        </is>
      </c>
      <c r="O9" s="11" t="inlineStr">
        <is>
          <t>Chất lượng dữ liệu OneS (SĐT, MST trống)</t>
        </is>
      </c>
      <c r="P9" s="4" t="inlineStr">
        <is>
          <t>Todo</t>
        </is>
      </c>
      <c r="Q9" s="12" t="n">
        <v>0</v>
      </c>
      <c r="R9" s="6" t="inlineStr">
        <is>
          <t>Reuse /customer/*. Import KH thuộc project Khu dân cư đã chốt.</t>
        </is>
      </c>
    </row>
    <row r="10" ht="42" customHeight="1">
      <c r="A10" s="13" t="n"/>
      <c r="B10" s="13" t="n"/>
      <c r="C10" s="6" t="inlineStr">
        <is>
          <t>Tổng hợp HĐ dịch vụ (PV/Điện/Nước/Xe/Khác)</t>
        </is>
      </c>
      <c r="D10" s="6" t="inlineStr">
        <is>
          <t>ServiceContract tạo đủ cho mọi KH active; feeType map đúng</t>
        </is>
      </c>
      <c r="E10" s="4" t="inlineStr">
        <is>
          <t>P1</t>
        </is>
      </c>
      <c r="F10" s="7" t="inlineStr">
        <is>
          <t>Tú</t>
        </is>
      </c>
      <c r="G10" s="7" t="inlineStr">
        <is>
          <t>Đức TTTM</t>
        </is>
      </c>
      <c r="H10" s="32" t="n">
        <v>46132</v>
      </c>
      <c r="I10" s="32" t="n">
        <v>46136</v>
      </c>
      <c r="J10" s="9" t="inlineStr">
        <is>
          <t>Dũng</t>
        </is>
      </c>
      <c r="K10" s="9" t="inlineStr">
        <is>
          <t>BE Contract, BE Billing</t>
        </is>
      </c>
      <c r="L10" s="33" t="n">
        <v>46141</v>
      </c>
      <c r="M10" s="33" t="n">
        <v>46148</v>
      </c>
      <c r="N10" s="6" t="inlineStr">
        <is>
          <t>DS KH, danh mục fee</t>
        </is>
      </c>
      <c r="O10" s="11" t="inlineStr">
        <is>
          <t>HĐ giấy chưa số hóa đầy đủ</t>
        </is>
      </c>
      <c r="P10" s="4" t="inlineStr">
        <is>
          <t>Todo</t>
        </is>
      </c>
      <c r="Q10" s="12" t="n">
        <v>0</v>
      </c>
      <c r="R10" s="6" t="inlineStr">
        <is>
          <t>HĐ DV của KH Khu dân cư: PV, điện, nước, xe, khác</t>
        </is>
      </c>
    </row>
    <row r="11" ht="42" customHeight="1">
      <c r="A11" s="14" t="n"/>
      <c r="B11" s="14" t="n"/>
      <c r="C11" s="6" t="inlineStr">
        <is>
          <t>Test case + Smoke E2E</t>
        </is>
      </c>
      <c r="D11" s="6" t="inlineStr">
        <is>
          <t>100% smoke pass, 80% E2E pass</t>
        </is>
      </c>
      <c r="E11" s="4" t="inlineStr">
        <is>
          <t>P1</t>
        </is>
      </c>
      <c r="F11" s="7" t="inlineStr">
        <is>
          <t>Thiểm</t>
        </is>
      </c>
      <c r="G11" s="7" t="inlineStr">
        <is>
          <t>Trung, Tú, Đức TTTM</t>
        </is>
      </c>
      <c r="H11" s="32" t="n">
        <v>46146</v>
      </c>
      <c r="I11" s="32" t="n">
        <v>46150</v>
      </c>
      <c r="J11" s="9" t="inlineStr">
        <is>
          <t>Dũng</t>
        </is>
      </c>
      <c r="K11" s="9" t="inlineStr">
        <is>
          <t>QC Team, FE, BE</t>
        </is>
      </c>
      <c r="L11" s="33" t="n">
        <v>46146</v>
      </c>
      <c r="M11" s="33" t="n">
        <v>46150</v>
      </c>
      <c r="N11" s="6" t="inlineStr">
        <is>
          <t>Data seed xong</t>
        </is>
      </c>
      <c r="O11" s="11" t="inlineStr">
        <is>
          <t>Thiếu tester → nghẽn UAT</t>
        </is>
      </c>
      <c r="P11" s="4" t="inlineStr">
        <is>
          <t>Todo</t>
        </is>
      </c>
      <c r="Q11" s="12" t="n">
        <v>0</v>
      </c>
      <c r="R11" s="6" t="inlineStr">
        <is>
          <t>113 smoke case đã có</t>
        </is>
      </c>
    </row>
    <row r="12" ht="42" customHeight="1">
      <c r="A12" s="4" t="n">
        <v>3</v>
      </c>
      <c r="B12" s="5" t="inlineStr">
        <is>
          <t>Phase 2: Billing Engine</t>
        </is>
      </c>
      <c r="C12" s="6" t="inlineStr">
        <is>
          <t>Công thức tính phí theo dịch vụ/KH</t>
        </is>
      </c>
      <c r="D12" s="6" t="inlineStr">
        <is>
          <t>Fee preview khớp tay 100% cho 10 case mẫu</t>
        </is>
      </c>
      <c r="E12" s="4" t="inlineStr">
        <is>
          <t>P1</t>
        </is>
      </c>
      <c r="F12" s="7" t="inlineStr">
        <is>
          <t>Thịnh</t>
        </is>
      </c>
      <c r="G12" s="7" t="inlineStr">
        <is>
          <t>Tú, Đức TTTM</t>
        </is>
      </c>
      <c r="H12" s="32" t="n">
        <v>46146</v>
      </c>
      <c r="I12" s="32" t="n">
        <v>46153</v>
      </c>
      <c r="J12" s="9" t="inlineStr">
        <is>
          <t>Dũng</t>
        </is>
      </c>
      <c r="K12" s="9" t="inlineStr">
        <is>
          <t>BE Billing, FE Billing</t>
        </is>
      </c>
      <c r="L12" s="33" t="n">
        <v>46154</v>
      </c>
      <c r="M12" s="33" t="n">
        <v>46164</v>
      </c>
      <c r="N12" s="6" t="inlineStr">
        <is>
          <t>Phase 1 xong</t>
        </is>
      </c>
      <c r="O12" s="11" t="inlineStr">
        <is>
          <t>Công thức phức tạp theo kỳ/luỹ tiến</t>
        </is>
      </c>
      <c r="P12" s="4" t="inlineStr">
        <is>
          <t>Todo</t>
        </is>
      </c>
      <c r="Q12" s="12" t="n">
        <v>0</v>
      </c>
      <c r="R12" s="6" t="inlineStr">
        <is>
          <t>billing.feeCalculator</t>
        </is>
      </c>
    </row>
    <row r="13" ht="42" customHeight="1">
      <c r="A13" s="13" t="n"/>
      <c r="B13" s="13" t="n"/>
      <c r="C13" s="6" t="inlineStr">
        <is>
          <t>Thời điểm lên phí (cron batch)</t>
        </is>
      </c>
      <c r="D13" s="6" t="inlineStr">
        <is>
          <t>Batch chạy trong &lt;10 phút cho 300+ site, retry on-fail</t>
        </is>
      </c>
      <c r="E13" s="4" t="inlineStr">
        <is>
          <t>P1</t>
        </is>
      </c>
      <c r="F13" s="7" t="inlineStr">
        <is>
          <t>Thịnh</t>
        </is>
      </c>
      <c r="G13" s="7" t="inlineStr">
        <is>
          <t>Trung, Tú, Đức TTTM</t>
        </is>
      </c>
      <c r="H13" s="32" t="n">
        <v>46146</v>
      </c>
      <c r="I13" s="32" t="n">
        <v>46153</v>
      </c>
      <c r="J13" s="9" t="inlineStr">
        <is>
          <t>Dũng</t>
        </is>
      </c>
      <c r="K13" s="9" t="inlineStr">
        <is>
          <t>BE Billing, Scheduler</t>
        </is>
      </c>
      <c r="L13" s="33" t="n">
        <v>46154</v>
      </c>
      <c r="M13" s="33" t="n">
        <v>46164</v>
      </c>
      <c r="N13" s="6" t="inlineStr">
        <is>
          <t>Công thức phí</t>
        </is>
      </c>
      <c r="O13" s="11" t="inlineStr">
        <is>
          <t>Deadlock, batch lỡ kỳ</t>
        </is>
      </c>
      <c r="P13" s="4" t="inlineStr">
        <is>
          <t>Todo</t>
        </is>
      </c>
      <c r="Q13" s="12" t="n">
        <v>0</v>
      </c>
      <c r="R13" s="6" t="inlineStr">
        <is>
          <t>Preview trước khi commit</t>
        </is>
      </c>
    </row>
    <row r="14" ht="42" customHeight="1">
      <c r="A14" s="13" t="n"/>
      <c r="B14" s="13" t="n"/>
      <c r="C14" s="6" t="inlineStr">
        <is>
          <t>Thông báo phí (Zalo OA, Timi, QR VietQR)</t>
        </is>
      </c>
      <c r="D14" s="6" t="inlineStr">
        <is>
          <t>ZNS template duyệt, QR scan thanh toán thành công</t>
        </is>
      </c>
      <c r="E14" s="4" t="inlineStr">
        <is>
          <t>P1</t>
        </is>
      </c>
      <c r="F14" s="7" t="inlineStr">
        <is>
          <t>Trung</t>
        </is>
      </c>
      <c r="G14" s="7" t="inlineStr">
        <is>
          <t>Tú, Đức TTTM, Thịnh</t>
        </is>
      </c>
      <c r="H14" s="32" t="n">
        <v>46146</v>
      </c>
      <c r="I14" s="32" t="n">
        <v>46153</v>
      </c>
      <c r="J14" s="9" t="inlineStr">
        <is>
          <t>Dũng</t>
        </is>
      </c>
      <c r="K14" s="9" t="inlineStr">
        <is>
          <t>Integration, FE Notification</t>
        </is>
      </c>
      <c r="L14" s="33" t="n">
        <v>46156</v>
      </c>
      <c r="M14" s="33" t="n">
        <v>46171</v>
      </c>
      <c r="N14" s="6" t="inlineStr">
        <is>
          <t>Zalo OA đã đăng ký</t>
        </is>
      </c>
      <c r="O14" s="11" t="inlineStr">
        <is>
          <t>ZNS duyệt 3–7 ngày</t>
        </is>
      </c>
      <c r="P14" s="4" t="inlineStr">
        <is>
          <t>Todo</t>
        </is>
      </c>
      <c r="Q14" s="12" t="n">
        <v>0</v>
      </c>
      <c r="R14" s="6" t="inlineStr">
        <is>
          <t>Template cần chuẩn bị trước</t>
        </is>
      </c>
    </row>
    <row r="15" ht="42" customHeight="1">
      <c r="A15" s="13" t="n"/>
      <c r="B15" s="13" t="n"/>
      <c r="C15" s="6" t="inlineStr">
        <is>
          <t>VAT: xuất HĐ điện tử ở CRM (sInvoice) sync Bravo</t>
        </is>
      </c>
      <c r="D15" s="6" t="inlineStr">
        <is>
          <t>HĐ ký số hợp lệ TT78/NĐ123; sync Bravo không lệch</t>
        </is>
      </c>
      <c r="E15" s="4" t="inlineStr">
        <is>
          <t>P1</t>
        </is>
      </c>
      <c r="F15" s="7" t="inlineStr">
        <is>
          <t>Thịnh</t>
        </is>
      </c>
      <c r="G15" s="7" t="inlineStr">
        <is>
          <t>Kế toán</t>
        </is>
      </c>
      <c r="H15" s="32" t="n">
        <v>46146</v>
      </c>
      <c r="I15" s="32" t="n">
        <v>46153</v>
      </c>
      <c r="J15" s="9" t="inlineStr">
        <is>
          <t>Dũng</t>
        </is>
      </c>
      <c r="K15" s="9" t="inlineStr">
        <is>
          <t>BE Integration, Kế toán UAT</t>
        </is>
      </c>
      <c r="L15" s="33" t="n">
        <v>46156</v>
      </c>
      <c r="M15" s="33" t="n">
        <v>46171</v>
      </c>
      <c r="N15" s="6" t="inlineStr">
        <is>
          <t>HĐ sInvoice, MST, CKS</t>
        </is>
      </c>
      <c r="O15" s="11" t="inlineStr">
        <is>
          <t>Thiếu CKS, mapping CoA lệch</t>
        </is>
      </c>
      <c r="P15" s="4" t="inlineStr">
        <is>
          <t>Todo</t>
        </is>
      </c>
      <c r="Q15" s="12" t="n">
        <v>0</v>
      </c>
      <c r="R15" s="6" t="inlineStr">
        <is>
          <t>Tránh double-entry VAT</t>
        </is>
      </c>
    </row>
    <row r="16" ht="42" customHeight="1">
      <c r="A16" s="14" t="n"/>
      <c r="B16" s="14" t="n"/>
      <c r="C16" s="6" t="inlineStr">
        <is>
          <t>Test case</t>
        </is>
      </c>
      <c r="D16" s="6" t="inlineStr">
        <is>
          <t>Regression + UAT pass</t>
        </is>
      </c>
      <c r="E16" s="4" t="inlineStr">
        <is>
          <t>P1</t>
        </is>
      </c>
      <c r="F16" s="7" t="inlineStr">
        <is>
          <t>Thiểm</t>
        </is>
      </c>
      <c r="G16" s="7" t="inlineStr">
        <is>
          <t>Trung, Tú, Đức TTTM</t>
        </is>
      </c>
      <c r="H16" s="32" t="n">
        <v>46167</v>
      </c>
      <c r="I16" s="32" t="n">
        <v>46171</v>
      </c>
      <c r="J16" s="9" t="inlineStr">
        <is>
          <t>Dũng</t>
        </is>
      </c>
      <c r="K16" s="9" t="inlineStr">
        <is>
          <t>QC Team, FE, BE</t>
        </is>
      </c>
      <c r="L16" s="33" t="n">
        <v>46167</v>
      </c>
      <c r="M16" s="33" t="n">
        <v>46171</v>
      </c>
      <c r="N16" s="6" t="inlineStr">
        <is>
          <t>Tất cả hạng mục Phase 2</t>
        </is>
      </c>
      <c r="O16" s="11" t="inlineStr">
        <is>
          <t>—</t>
        </is>
      </c>
      <c r="P16" s="4" t="inlineStr">
        <is>
          <t>Todo</t>
        </is>
      </c>
      <c r="Q16" s="12" t="n">
        <v>0</v>
      </c>
      <c r="R16" s="6" t="inlineStr"/>
    </row>
    <row r="17" ht="42" customHeight="1">
      <c r="A17" s="4" t="n">
        <v>4</v>
      </c>
      <c r="B17" s="5" t="inlineStr">
        <is>
          <t>Phase 3: Payment Cash &amp; CK</t>
        </is>
      </c>
      <c r="C17" s="6" t="inlineStr">
        <is>
          <t>API gạch nợ (reuse Timi)</t>
        </is>
      </c>
      <c r="D17" s="6" t="inlineStr">
        <is>
          <t>Callback Timi → apply payment → debt giảm đúng</t>
        </is>
      </c>
      <c r="E17" s="4" t="inlineStr">
        <is>
          <t>P1</t>
        </is>
      </c>
      <c r="F17" s="7" t="inlineStr">
        <is>
          <t>Thiểm</t>
        </is>
      </c>
      <c r="G17" s="7" t="inlineStr">
        <is>
          <t>Kiên</t>
        </is>
      </c>
      <c r="H17" s="32" t="n">
        <v>46146</v>
      </c>
      <c r="I17" s="32" t="n">
        <v>46153</v>
      </c>
      <c r="J17" s="9" t="inlineStr">
        <is>
          <t>Dũng</t>
        </is>
      </c>
      <c r="K17" s="9" t="inlineStr">
        <is>
          <t>BE Billing, Integration Timi</t>
        </is>
      </c>
      <c r="L17" s="33" t="n">
        <v>46154</v>
      </c>
      <c r="M17" s="33" t="n">
        <v>46161</v>
      </c>
      <c r="N17" s="6" t="inlineStr">
        <is>
          <t>Timi webhook config</t>
        </is>
      </c>
      <c r="O17" s="11" t="inlineStr">
        <is>
          <t>Callback duplicate / mất</t>
        </is>
      </c>
      <c r="P17" s="4" t="inlineStr">
        <is>
          <t>Todo</t>
        </is>
      </c>
      <c r="Q17" s="12" t="n">
        <v>0</v>
      </c>
      <c r="R17" s="6" t="inlineStr">
        <is>
          <t>Idempotency-key bắt buộc</t>
        </is>
      </c>
    </row>
    <row r="18" ht="42" customHeight="1">
      <c r="A18" s="13" t="n"/>
      <c r="B18" s="13" t="n"/>
      <c r="C18" s="6" t="inlineStr">
        <is>
          <t>Thanh toán từng phần / toàn phần (theo cấu hình)</t>
        </is>
      </c>
      <c r="D18" s="6" t="inlineStr">
        <is>
          <t>KH có thể chọn trả 1 phần, priority rõ, tracked trong history</t>
        </is>
      </c>
      <c r="E18" s="4" t="inlineStr">
        <is>
          <t>P1</t>
        </is>
      </c>
      <c r="F18" s="7" t="inlineStr">
        <is>
          <t>Thịnh</t>
        </is>
      </c>
      <c r="G18" s="7" t="inlineStr">
        <is>
          <t>Trung, Tú, Đức TTTM</t>
        </is>
      </c>
      <c r="H18" s="32" t="n">
        <v>46146</v>
      </c>
      <c r="I18" s="32" t="n">
        <v>46153</v>
      </c>
      <c r="J18" s="9" t="inlineStr">
        <is>
          <t>Dũng</t>
        </is>
      </c>
      <c r="K18" s="9" t="inlineStr">
        <is>
          <t>BE Billing, FE Payment</t>
        </is>
      </c>
      <c r="L18" s="33" t="n">
        <v>46154</v>
      </c>
      <c r="M18" s="33" t="n">
        <v>46164</v>
      </c>
      <c r="N18" s="6" t="inlineStr">
        <is>
          <t>Công thức priority từ TNPM</t>
        </is>
      </c>
      <c r="O18" s="11" t="inlineStr">
        <is>
          <t>Cấu hình priority phức tạp</t>
        </is>
      </c>
      <c r="P18" s="4" t="inlineStr">
        <is>
          <t>Todo</t>
        </is>
      </c>
      <c r="Q18" s="12" t="n">
        <v>0</v>
      </c>
      <c r="R18" s="6" t="inlineStr">
        <is>
          <t>Default: FIFO theo dueDate</t>
        </is>
      </c>
    </row>
    <row r="19" ht="42" customHeight="1">
      <c r="A19" s="14" t="n"/>
      <c r="B19" s="14" t="n"/>
      <c r="C19" s="6" t="inlineStr">
        <is>
          <t>Test case</t>
        </is>
      </c>
      <c r="D19" s="6" t="inlineStr">
        <is>
          <t>End-to-end pass</t>
        </is>
      </c>
      <c r="E19" s="4" t="inlineStr">
        <is>
          <t>P1</t>
        </is>
      </c>
      <c r="F19" s="7" t="inlineStr">
        <is>
          <t>Thiểm</t>
        </is>
      </c>
      <c r="G19" s="7" t="inlineStr">
        <is>
          <t>Trung, Tú, Đức TTTM</t>
        </is>
      </c>
      <c r="H19" s="32" t="n">
        <v>46162</v>
      </c>
      <c r="I19" s="32" t="n">
        <v>46167</v>
      </c>
      <c r="J19" s="9" t="inlineStr">
        <is>
          <t>Dũng</t>
        </is>
      </c>
      <c r="K19" s="9" t="inlineStr">
        <is>
          <t>QC Team</t>
        </is>
      </c>
      <c r="L19" s="33" t="n">
        <v>46162</v>
      </c>
      <c r="M19" s="33" t="n">
        <v>46167</v>
      </c>
      <c r="N19" s="6" t="inlineStr">
        <is>
          <t>—</t>
        </is>
      </c>
      <c r="O19" s="11" t="inlineStr">
        <is>
          <t>—</t>
        </is>
      </c>
      <c r="P19" s="4" t="inlineStr">
        <is>
          <t>Todo</t>
        </is>
      </c>
      <c r="Q19" s="12" t="n">
        <v>0</v>
      </c>
      <c r="R19" s="6" t="inlineStr"/>
    </row>
    <row r="20" ht="42" customHeight="1">
      <c r="A20" s="4" t="n">
        <v>5</v>
      </c>
      <c r="B20" s="5" t="inlineStr">
        <is>
          <t>Phase 4: MSB Pay + Timi</t>
        </is>
      </c>
      <c r="C20" s="6" t="inlineStr">
        <is>
          <t>Yêu cầu hình thức thanh toán (toàn bộ / từng phần)</t>
        </is>
      </c>
      <c r="D20" s="6" t="inlineStr">
        <is>
          <t>Business rule văn bản hóa, ký duyệt</t>
        </is>
      </c>
      <c r="E20" s="4" t="inlineStr">
        <is>
          <t>P1</t>
        </is>
      </c>
      <c r="F20" s="7" t="inlineStr">
        <is>
          <t>Thịnh</t>
        </is>
      </c>
      <c r="G20" s="7" t="inlineStr">
        <is>
          <t>Tú, Trung, Đức TTTM</t>
        </is>
      </c>
      <c r="H20" s="32" t="n">
        <v>46148</v>
      </c>
      <c r="I20" s="32" t="n">
        <v>46157</v>
      </c>
      <c r="J20" s="9" t="inlineStr">
        <is>
          <t>Dũng</t>
        </is>
      </c>
      <c r="K20" s="9" t="inlineStr">
        <is>
          <t>BA TNTECH, Kế toán</t>
        </is>
      </c>
      <c r="L20" s="33" t="n">
        <v>46148</v>
      </c>
      <c r="M20" s="33" t="n">
        <v>46157</v>
      </c>
      <c r="N20" s="6" t="inlineStr">
        <is>
          <t>Phase 3 rule partial-payment</t>
        </is>
      </c>
      <c r="O20" s="11" t="inlineStr">
        <is>
          <t>Không thống nhất về xử lý thừa/thiếu</t>
        </is>
      </c>
      <c r="P20" s="4" t="inlineStr">
        <is>
          <t>Todo</t>
        </is>
      </c>
      <c r="Q20" s="12" t="n">
        <v>0</v>
      </c>
      <c r="R20" s="6" t="inlineStr"/>
    </row>
    <row r="21" ht="42" customHeight="1">
      <c r="A21" s="13" t="n"/>
      <c r="B21" s="13" t="n"/>
      <c r="C21" s="6" t="inlineStr">
        <is>
          <t>Tích hợp MSB Pay (sandbox → UAT → live)</t>
        </is>
      </c>
      <c r="D21" s="6" t="inlineStr">
        <is>
          <t>Giao dịch end-to-end thành công trên prod</t>
        </is>
      </c>
      <c r="E21" s="4" t="inlineStr">
        <is>
          <t>P1</t>
        </is>
      </c>
      <c r="F21" s="7" t="inlineStr">
        <is>
          <t>—</t>
        </is>
      </c>
      <c r="G21" s="7" t="inlineStr">
        <is>
          <t>—</t>
        </is>
      </c>
      <c r="H21" s="32" t="n"/>
      <c r="I21" s="32" t="n"/>
      <c r="J21" s="9" t="inlineStr">
        <is>
          <t>Dũng</t>
        </is>
      </c>
      <c r="K21" s="9" t="inlineStr">
        <is>
          <t>Integration Lead, MSB SA, Timi Mobile</t>
        </is>
      </c>
      <c r="L21" s="33" t="n">
        <v>46160</v>
      </c>
      <c r="M21" s="33" t="n">
        <v>46185</v>
      </c>
      <c r="N21" s="6" t="inlineStr">
        <is>
          <t>Hợp đồng MSB, CKS, whitelist IP</t>
        </is>
      </c>
      <c r="O21" s="11" t="inlineStr">
        <is>
          <t>MSB certification 2–4 tuần, có thể reject</t>
        </is>
      </c>
      <c r="P21" s="4" t="inlineStr">
        <is>
          <t>Todo</t>
        </is>
      </c>
      <c r="Q21" s="12" t="n">
        <v>0</v>
      </c>
      <c r="R21" s="6" t="inlineStr">
        <is>
          <t>Sandbox bắt đầu ngay khi có key</t>
        </is>
      </c>
    </row>
    <row r="22" ht="42" customHeight="1">
      <c r="A22" s="14" t="n"/>
      <c r="B22" s="14" t="n"/>
      <c r="C22" s="6" t="inlineStr">
        <is>
          <t>Test case + UAT cuối</t>
        </is>
      </c>
      <c r="D22" s="6" t="inlineStr">
        <is>
          <t>Kế toán xác nhận reconciliation khớp 100%</t>
        </is>
      </c>
      <c r="E22" s="4" t="inlineStr">
        <is>
          <t>P1</t>
        </is>
      </c>
      <c r="F22" s="7" t="inlineStr">
        <is>
          <t>Thiểm</t>
        </is>
      </c>
      <c r="G22" s="7" t="inlineStr">
        <is>
          <t>Trung, Tú, Đức TTTM</t>
        </is>
      </c>
      <c r="H22" s="32" t="n">
        <v>46181</v>
      </c>
      <c r="I22" s="32" t="n">
        <v>46185</v>
      </c>
      <c r="J22" s="9" t="inlineStr">
        <is>
          <t>Dũng</t>
        </is>
      </c>
      <c r="K22" s="9" t="inlineStr">
        <is>
          <t>QC Team, Kế toán UAT</t>
        </is>
      </c>
      <c r="L22" s="33" t="n">
        <v>46181</v>
      </c>
      <c r="M22" s="33" t="n">
        <v>46185</v>
      </c>
      <c r="N22" s="6" t="inlineStr">
        <is>
          <t>MSB live</t>
        </is>
      </c>
      <c r="O22" s="11" t="inlineStr">
        <is>
          <t>—</t>
        </is>
      </c>
      <c r="P22" s="4" t="inlineStr">
        <is>
          <t>Todo</t>
        </is>
      </c>
      <c r="Q22" s="12" t="n">
        <v>0</v>
      </c>
      <c r="R22" s="6" t="inlineStr"/>
    </row>
    <row r="23" ht="42" customHeight="1">
      <c r="A23" s="4" t="n">
        <v>6</v>
      </c>
      <c r="B23" s="5" t="inlineStr">
        <is>
          <t>Phase 5: Nợ + Bravo</t>
        </is>
      </c>
      <c r="C23" s="6" t="inlineStr">
        <is>
          <t>Thông báo nợ (thời điểm, biểu mẫu)</t>
        </is>
      </c>
      <c r="D23" s="6" t="inlineStr">
        <is>
          <t>ZNS/Push gửi đúng KH quá hạn, đủ field</t>
        </is>
      </c>
      <c r="E23" s="4" t="inlineStr">
        <is>
          <t>P1</t>
        </is>
      </c>
      <c r="F23" s="7" t="inlineStr">
        <is>
          <t>Thịnh</t>
        </is>
      </c>
      <c r="G23" s="7" t="inlineStr">
        <is>
          <t>Tú, Trung, Đức TTTM</t>
        </is>
      </c>
      <c r="H23" s="32" t="n">
        <v>46148</v>
      </c>
      <c r="I23" s="32" t="n">
        <v>46157</v>
      </c>
      <c r="J23" s="9" t="inlineStr">
        <is>
          <t>Dũng</t>
        </is>
      </c>
      <c r="K23" s="9" t="inlineStr">
        <is>
          <t>BE Billing, FE</t>
        </is>
      </c>
      <c r="L23" s="33" t="n">
        <v>46161</v>
      </c>
      <c r="M23" s="33" t="n">
        <v>46171</v>
      </c>
      <c r="N23" s="6" t="inlineStr">
        <is>
          <t>Template ZNS duyệt</t>
        </is>
      </c>
      <c r="O23" s="11" t="inlineStr">
        <is>
          <t>Template chậm duyệt</t>
        </is>
      </c>
      <c r="P23" s="4" t="inlineStr">
        <is>
          <t>Todo</t>
        </is>
      </c>
      <c r="Q23" s="12" t="n">
        <v>0</v>
      </c>
      <c r="R23" s="6" t="inlineStr"/>
    </row>
    <row r="24" ht="42" customHeight="1">
      <c r="A24" s="13" t="n"/>
      <c r="B24" s="13" t="n"/>
      <c r="C24" s="6" t="inlineStr">
        <is>
          <t>Kênh thông báo nợ (Zalo OA / Timi / …)</t>
        </is>
      </c>
      <c r="D24" s="6" t="inlineStr">
        <is>
          <t>Config multi-channel per customer preference</t>
        </is>
      </c>
      <c r="E24" s="4" t="inlineStr">
        <is>
          <t>P1</t>
        </is>
      </c>
      <c r="F24" s="7" t="inlineStr">
        <is>
          <t>Trung</t>
        </is>
      </c>
      <c r="G24" s="7" t="inlineStr">
        <is>
          <t>Tú, Đức TTTM</t>
        </is>
      </c>
      <c r="H24" s="32" t="n">
        <v>46148</v>
      </c>
      <c r="I24" s="32" t="n">
        <v>46157</v>
      </c>
      <c r="J24" s="9" t="inlineStr">
        <is>
          <t>Dũng</t>
        </is>
      </c>
      <c r="K24" s="9" t="inlineStr">
        <is>
          <t>Integration</t>
        </is>
      </c>
      <c r="L24" s="33" t="n">
        <v>46161</v>
      </c>
      <c r="M24" s="33" t="n">
        <v>46171</v>
      </c>
      <c r="N24" s="6" t="inlineStr">
        <is>
          <t>Zalo OA/Timi</t>
        </is>
      </c>
      <c r="O24" s="11" t="inlineStr">
        <is>
          <t>—</t>
        </is>
      </c>
      <c r="P24" s="4" t="inlineStr">
        <is>
          <t>Todo</t>
        </is>
      </c>
      <c r="Q24" s="12" t="n">
        <v>0</v>
      </c>
      <c r="R24" s="6" t="inlineStr">
        <is>
          <t>Reuse notification.channel</t>
        </is>
      </c>
    </row>
    <row r="25" ht="42" customHeight="1">
      <c r="A25" s="13" t="n"/>
      <c r="B25" s="13" t="n"/>
      <c r="C25" s="6" t="inlineStr">
        <is>
          <t>Thống kê tuổi nợ (aging 0-30/31-60/61-90/&gt;90)</t>
        </is>
      </c>
      <c r="D25" s="6" t="inlineStr">
        <is>
          <t>Dashboard khớp thủ công 1 kỳ</t>
        </is>
      </c>
      <c r="E25" s="4" t="inlineStr">
        <is>
          <t>P1</t>
        </is>
      </c>
      <c r="F25" s="7" t="inlineStr">
        <is>
          <t>Thịnh</t>
        </is>
      </c>
      <c r="G25" s="7" t="inlineStr">
        <is>
          <t>Tú, Trung, Đức TTTM</t>
        </is>
      </c>
      <c r="H25" s="32" t="n">
        <v>46148</v>
      </c>
      <c r="I25" s="32" t="n">
        <v>46157</v>
      </c>
      <c r="J25" s="9" t="inlineStr">
        <is>
          <t>Dũng</t>
        </is>
      </c>
      <c r="K25" s="9" t="inlineStr">
        <is>
          <t>BE Billing, BI</t>
        </is>
      </c>
      <c r="L25" s="33" t="n">
        <v>46161</v>
      </c>
      <c r="M25" s="33" t="n">
        <v>46171</v>
      </c>
      <c r="N25" s="6" t="inlineStr">
        <is>
          <t>Dữ liệu debt đầy đủ</t>
        </is>
      </c>
      <c r="O25" s="11" t="inlineStr">
        <is>
          <t>Aging bucket đổi theo chính sách</t>
        </is>
      </c>
      <c r="P25" s="4" t="inlineStr">
        <is>
          <t>Todo</t>
        </is>
      </c>
      <c r="Q25" s="12" t="n">
        <v>0</v>
      </c>
      <c r="R25" s="6" t="inlineStr">
        <is>
          <t>DebtManagementList đã có mock</t>
        </is>
      </c>
    </row>
    <row r="26" ht="42" customHeight="1">
      <c r="A26" s="13" t="n"/>
      <c r="B26" s="13" t="n"/>
      <c r="C26" s="6" t="inlineStr">
        <is>
          <t>Tích hợp Bravo (mapping CoA, middleware sync)</t>
        </is>
      </c>
      <c r="D26" s="6" t="inlineStr">
        <is>
          <t>Giao dịch CRM 1 kỳ sync đủ sang Bravo, không sai lệch</t>
        </is>
      </c>
      <c r="E26" s="4" t="inlineStr">
        <is>
          <t>P1</t>
        </is>
      </c>
      <c r="F26" s="7" t="inlineStr">
        <is>
          <t>Thịnh</t>
        </is>
      </c>
      <c r="G26" s="7" t="inlineStr">
        <is>
          <t>Kế toán, Bravo team</t>
        </is>
      </c>
      <c r="H26" s="32" t="n">
        <v>46157</v>
      </c>
      <c r="I26" s="32" t="n">
        <v>46167</v>
      </c>
      <c r="J26" s="9" t="inlineStr">
        <is>
          <t>Dũng</t>
        </is>
      </c>
      <c r="K26" s="9" t="inlineStr">
        <is>
          <t>Integration Bravo, Kế toán Bravo</t>
        </is>
      </c>
      <c r="L26" s="33" t="n">
        <v>46167</v>
      </c>
      <c r="M26" s="33" t="n">
        <v>46188</v>
      </c>
      <c r="N26" s="6" t="inlineStr">
        <is>
          <t>Bravo test env, chart of accounts</t>
        </is>
      </c>
      <c r="O26" s="11" t="inlineStr">
        <is>
          <t>Phụ thuộc team Bravo, API version</t>
        </is>
      </c>
      <c r="P26" s="4" t="inlineStr">
        <is>
          <t>Todo</t>
        </is>
      </c>
      <c r="Q26" s="12" t="n">
        <v>0</v>
      </c>
      <c r="R26" s="6" t="inlineStr">
        <is>
          <t>Cần xác nhận lịch từ Bravo</t>
        </is>
      </c>
    </row>
    <row r="27" ht="42" customHeight="1">
      <c r="A27" s="14" t="n"/>
      <c r="B27" s="14" t="n"/>
      <c r="C27" s="6" t="inlineStr">
        <is>
          <t>Test case + UAT cuối</t>
        </is>
      </c>
      <c r="D27" s="6" t="inlineStr">
        <is>
          <t>Đối soát công nợ + Bravo 1 kỳ pass</t>
        </is>
      </c>
      <c r="E27" s="4" t="inlineStr">
        <is>
          <t>P1</t>
        </is>
      </c>
      <c r="F27" s="7" t="inlineStr">
        <is>
          <t>Thiểm</t>
        </is>
      </c>
      <c r="G27" s="7" t="inlineStr">
        <is>
          <t>Trung, Tú, Đức TTTM</t>
        </is>
      </c>
      <c r="H27" s="32" t="n">
        <v>46183</v>
      </c>
      <c r="I27" s="32" t="n">
        <v>46188</v>
      </c>
      <c r="J27" s="9" t="inlineStr">
        <is>
          <t>Dũng</t>
        </is>
      </c>
      <c r="K27" s="9" t="inlineStr">
        <is>
          <t>QC, Kế toán UAT</t>
        </is>
      </c>
      <c r="L27" s="33" t="n">
        <v>46183</v>
      </c>
      <c r="M27" s="33" t="n">
        <v>46188</v>
      </c>
      <c r="N27" s="6" t="inlineStr">
        <is>
          <t>Bravo live</t>
        </is>
      </c>
      <c r="O27" s="11" t="inlineStr">
        <is>
          <t>—</t>
        </is>
      </c>
      <c r="P27" s="4" t="inlineStr">
        <is>
          <t>Todo</t>
        </is>
      </c>
      <c r="Q27" s="12" t="n">
        <v>0</v>
      </c>
      <c r="R27" s="6" t="inlineStr"/>
    </row>
    <row r="28" ht="42" customHeight="1">
      <c r="A28" s="4" t="n">
        <v>7</v>
      </c>
      <c r="B28" s="5" t="inlineStr">
        <is>
          <t>Phase 6: UAT &amp; Go-live</t>
        </is>
      </c>
      <c r="C28" s="6" t="inlineStr">
        <is>
          <t>UAT tổng thể (full flow 5 phase)</t>
        </is>
      </c>
      <c r="D28" s="6" t="inlineStr">
        <is>
          <t>UAT sign-off từ TNPM, không còn blocker</t>
        </is>
      </c>
      <c r="E28" s="4" t="inlineStr">
        <is>
          <t>P1</t>
        </is>
      </c>
      <c r="F28" s="7" t="inlineStr">
        <is>
          <t>Thiểm</t>
        </is>
      </c>
      <c r="G28" s="7" t="inlineStr">
        <is>
          <t>Toàn bộ team TNPM</t>
        </is>
      </c>
      <c r="H28" s="32" t="n">
        <v>46188</v>
      </c>
      <c r="I28" s="32" t="n">
        <v>46192</v>
      </c>
      <c r="J28" s="9" t="inlineStr">
        <is>
          <t>Dũng</t>
        </is>
      </c>
      <c r="K28" s="9" t="inlineStr">
        <is>
          <t>QC, Support</t>
        </is>
      </c>
      <c r="L28" s="33" t="n">
        <v>46188</v>
      </c>
      <c r="M28" s="33" t="n">
        <v>46192</v>
      </c>
      <c r="N28" s="6" t="inlineStr">
        <is>
          <t>Tất cả phase xong</t>
        </is>
      </c>
      <c r="O28" s="11" t="inlineStr">
        <is>
          <t>Blocker phát sinh khi UAT</t>
        </is>
      </c>
      <c r="P28" s="4" t="inlineStr">
        <is>
          <t>Todo</t>
        </is>
      </c>
      <c r="Q28" s="12" t="n">
        <v>0</v>
      </c>
      <c r="R28" s="6" t="inlineStr">
        <is>
          <t>Checklist UAT chi tiết</t>
        </is>
      </c>
    </row>
    <row r="29" ht="42" customHeight="1">
      <c r="A29" s="13" t="n"/>
      <c r="B29" s="13" t="n"/>
      <c r="C29" s="6" t="inlineStr">
        <is>
          <t>Đào tạo người dùng + HDSD</t>
        </is>
      </c>
      <c r="D29" s="6" t="inlineStr">
        <is>
          <t>Tất cả user role đã train; HDSD v1 phát hành</t>
        </is>
      </c>
      <c r="E29" s="4" t="inlineStr">
        <is>
          <t>P1</t>
        </is>
      </c>
      <c r="F29" s="7" t="inlineStr">
        <is>
          <t>Trung</t>
        </is>
      </c>
      <c r="G29" s="7" t="inlineStr">
        <is>
          <t>BQL các Site</t>
        </is>
      </c>
      <c r="H29" s="32" t="n">
        <v>46189</v>
      </c>
      <c r="I29" s="32" t="n">
        <v>46192</v>
      </c>
      <c r="J29" s="9" t="inlineStr">
        <is>
          <t>Dũng</t>
        </is>
      </c>
      <c r="K29" s="9" t="inlineStr">
        <is>
          <t>Tech Writer, Support</t>
        </is>
      </c>
      <c r="L29" s="33" t="n">
        <v>46189</v>
      </c>
      <c r="M29" s="33" t="n">
        <v>46192</v>
      </c>
      <c r="N29" s="6" t="inlineStr">
        <is>
          <t>UAT xong</t>
        </is>
      </c>
      <c r="O29" s="11" t="inlineStr">
        <is>
          <t>Site xa không đào tạo được onsite</t>
        </is>
      </c>
      <c r="P29" s="4" t="inlineStr">
        <is>
          <t>Todo</t>
        </is>
      </c>
      <c r="Q29" s="12" t="n">
        <v>0</v>
      </c>
      <c r="R29" s="6" t="inlineStr">
        <is>
          <t>Online + video</t>
        </is>
      </c>
    </row>
    <row r="30" ht="42" customHeight="1">
      <c r="A30" s="14" t="n"/>
      <c r="B30" s="14" t="n"/>
      <c r="C30" s="6" t="inlineStr">
        <is>
          <t>Go-live + hyper-care 2 tuần</t>
        </is>
      </c>
      <c r="D30" s="6" t="inlineStr">
        <is>
          <t>Live thành công, SLA P1&lt;4h, P2&lt;1d</t>
        </is>
      </c>
      <c r="E30" s="4" t="inlineStr">
        <is>
          <t>P1</t>
        </is>
      </c>
      <c r="F30" s="7" t="inlineStr">
        <is>
          <t>Trung</t>
        </is>
      </c>
      <c r="G30" s="7" t="inlineStr">
        <is>
          <t>BQL</t>
        </is>
      </c>
      <c r="H30" s="32" t="n">
        <v>46195</v>
      </c>
      <c r="I30" s="32" t="n">
        <v>46206</v>
      </c>
      <c r="J30" s="9" t="inlineStr">
        <is>
          <t>Dũng</t>
        </is>
      </c>
      <c r="K30" s="9" t="inlineStr">
        <is>
          <t>DevOps, Support, Dev on-call</t>
        </is>
      </c>
      <c r="L30" s="33" t="n">
        <v>46195</v>
      </c>
      <c r="M30" s="33" t="n">
        <v>46206</v>
      </c>
      <c r="N30" s="6" t="inlineStr">
        <is>
          <t>Training xong</t>
        </is>
      </c>
      <c r="O30" s="11" t="inlineStr">
        <is>
          <t>Sự cố prod giờ vận hành</t>
        </is>
      </c>
      <c r="P30" s="4" t="inlineStr">
        <is>
          <t>Todo</t>
        </is>
      </c>
      <c r="Q30" s="12" t="n">
        <v>0</v>
      </c>
      <c r="R30" s="6" t="inlineStr">
        <is>
          <t>War-room 2 tuần đầu</t>
        </is>
      </c>
    </row>
  </sheetData>
  <mergeCells count="27">
    <mergeCell ref="A12:A16"/>
    <mergeCell ref="A17:A19"/>
    <mergeCell ref="A20:A22"/>
    <mergeCell ref="B2:B3"/>
    <mergeCell ref="J2:M2"/>
    <mergeCell ref="N2:N3"/>
    <mergeCell ref="D2:D3"/>
    <mergeCell ref="P2:P3"/>
    <mergeCell ref="A23:A27"/>
    <mergeCell ref="A4:A6"/>
    <mergeCell ref="B4:B6"/>
    <mergeCell ref="B20:B22"/>
    <mergeCell ref="A28:A30"/>
    <mergeCell ref="A2:A3"/>
    <mergeCell ref="C2:C3"/>
    <mergeCell ref="B7:B11"/>
    <mergeCell ref="E2:E3"/>
    <mergeCell ref="B12:B16"/>
    <mergeCell ref="O2:O3"/>
    <mergeCell ref="Q2:Q3"/>
    <mergeCell ref="R2:R3"/>
    <mergeCell ref="A7:A11"/>
    <mergeCell ref="B17:B19"/>
    <mergeCell ref="F2:I2"/>
    <mergeCell ref="A1:R1"/>
    <mergeCell ref="B23:B27"/>
    <mergeCell ref="B28:B30"/>
  </mergeCells>
  <conditionalFormatting sqref="A4:R30">
    <cfRule type="expression" priority="1" dxfId="0">
      <formula>$P4="Done"</formula>
    </cfRule>
    <cfRule type="expression" priority="2" dxfId="1">
      <formula>$P4="Blocked"</formula>
    </cfRule>
    <cfRule type="expression" priority="3" dxfId="2">
      <formula>$P4="In progress"</formula>
    </cfRule>
  </conditionalFormatting>
  <conditionalFormatting sqref="Q4:Q30">
    <cfRule type="dataBar" priority="4">
      <dataBar showValue="1">
        <cfvo type="num" val="0"/>
        <cfvo type="num" val="1"/>
        <color rgb="FF4CAF50"/>
      </dataBar>
    </cfRule>
  </conditionalFormatting>
  <dataValidations count="5">
    <dataValidation sqref="P4:P30" showDropDown="0" showInputMessage="0" showErrorMessage="1" allowBlank="1" errorTitle="Giá trị không hợp lệ" error="Chỉ được chọn: Todo / In progress / Blocked / Review / Done" type="list">
      <formula1>"Todo,In progress,Blocked,Review,Done"</formula1>
    </dataValidation>
    <dataValidation sqref="E4:E30" showDropDown="0" showInputMessage="0" showErrorMessage="0" allowBlank="1" type="list">
      <formula1>"P0,P1,P2,P3"</formula1>
    </dataValidation>
    <dataValidation sqref="Q4:Q30" showDropDown="0" showInputMessage="0" showErrorMessage="1" allowBlank="1" errorTitle="% sai" error="Nhập giá trị 0-100% (dạng số hoặc %)" type="decimal" operator="between">
      <formula1>0</formula1>
      <formula2>1</formula2>
    </dataValidation>
    <dataValidation sqref="I4:I30" showDropDown="0" showInputMessage="0" showErrorMessage="1" allowBlank="1" errorTitle="Ngày sai" error="Hoàn thành phải &gt;= Bắt đầu" type="date" operator="greaterThanOrEqual">
      <formula1>H4</formula1>
    </dataValidation>
    <dataValidation sqref="M4:M30" showDropDown="0" showInputMessage="0" showErrorMessage="1" allowBlank="1" type="date" operator="greaterThanOrEqual">
      <formula1>L4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TỔNG QUAN TRIỂN KHAI CRM TNPM — PHASE 1</t>
        </is>
      </c>
    </row>
    <row r="3" ht="22" customHeight="1">
      <c r="B3" s="15" t="inlineStr">
        <is>
          <t>Khách hàng</t>
        </is>
      </c>
      <c r="C3" s="16" t="inlineStr">
        <is>
          <t>TNPM — TN Property Management</t>
        </is>
      </c>
      <c r="D3" s="30" t="n"/>
      <c r="E3" s="30" t="n"/>
      <c r="F3" s="31" t="n"/>
    </row>
    <row r="4" ht="22" customHeight="1">
      <c r="B4" s="15" t="inlineStr">
        <is>
          <t>Nhà triển khai</t>
        </is>
      </c>
      <c r="C4" s="16" t="inlineStr">
        <is>
          <t>TNTECH — Reborn CRM (cloud-ver2 / nhánh reborn-tnpm)</t>
        </is>
      </c>
      <c r="D4" s="30" t="n"/>
      <c r="E4" s="30" t="n"/>
      <c r="F4" s="31" t="n"/>
    </row>
    <row r="5" ht="22" customHeight="1">
      <c r="B5" s="15" t="inlineStr">
        <is>
          <t>Phạm vi Phase 1</t>
        </is>
      </c>
      <c r="C5" s="16" t="inlineStr">
        <is>
          <t>PILOT Khu dân cư (Chung cư + Nhà TT): CRM + HĐ DV, Billing cơ bản, Payment (cash/CK/MSB/Timi), Debt, Bravo integration</t>
        </is>
      </c>
      <c r="D5" s="30" t="n"/>
      <c r="E5" s="30" t="n"/>
      <c r="F5" s="31" t="n"/>
    </row>
    <row r="6" ht="22" customHeight="1">
      <c r="B6" s="15" t="inlineStr">
        <is>
          <t>Mục tiêu Go-live</t>
        </is>
      </c>
      <c r="C6" s="16" t="inlineStr">
        <is>
          <t>2026-06-22 (soft launch) → 2026-07-03 (full, hyper-care 2 tuần)</t>
        </is>
      </c>
      <c r="D6" s="30" t="n"/>
      <c r="E6" s="30" t="n"/>
      <c r="F6" s="31" t="n"/>
    </row>
    <row r="7" ht="22" customHeight="1">
      <c r="B7" s="15" t="inlineStr">
        <is>
          <t>PM TNPM</t>
        </is>
      </c>
      <c r="C7" s="16" t="inlineStr">
        <is>
          <t>Trung / Thịnh</t>
        </is>
      </c>
      <c r="D7" s="30" t="n"/>
      <c r="E7" s="30" t="n"/>
      <c r="F7" s="31" t="n"/>
    </row>
    <row r="8" ht="22" customHeight="1">
      <c r="B8" s="15" t="inlineStr">
        <is>
          <t>PM TNTECH</t>
        </is>
      </c>
      <c r="C8" s="16" t="inlineStr">
        <is>
          <t>Dũng</t>
        </is>
      </c>
      <c r="D8" s="30" t="n"/>
      <c r="E8" s="30" t="n"/>
      <c r="F8" s="31" t="n"/>
    </row>
    <row r="9" ht="22" customHeight="1">
      <c r="B9" s="15" t="inlineStr">
        <is>
          <t>Nhịp họp</t>
        </is>
      </c>
      <c r="C9" s="16" t="inlineStr">
        <is>
          <t>Daily 9:00 (15ph) · Weekly Thứ 6 (60ph) · Monthly Steering Committee</t>
        </is>
      </c>
      <c r="D9" s="30" t="n"/>
      <c r="E9" s="30" t="n"/>
      <c r="F9" s="31" t="n"/>
    </row>
    <row r="10" ht="22" customHeight="1">
      <c r="B10" s="15" t="inlineStr">
        <is>
          <t>Kênh liên lạc</t>
        </is>
      </c>
      <c r="C10" s="16" t="inlineStr">
        <is>
          <t>Zalo group + Jira + tài liệu Confluence</t>
        </is>
      </c>
      <c r="D10" s="30" t="n"/>
      <c r="E10" s="30" t="n"/>
      <c r="F10" s="31" t="n"/>
    </row>
    <row r="11" ht="22" customHeight="1">
      <c r="B11" s="15" t="inlineStr">
        <is>
          <t>Kho mã nguồn</t>
        </is>
      </c>
      <c r="C11" s="16" t="inlineStr">
        <is>
          <t>github.com/reborn/cloud-crm, nhánh reborn-tnpm</t>
        </is>
      </c>
      <c r="D11" s="30" t="n"/>
      <c r="E11" s="30" t="n"/>
      <c r="F11" s="31" t="n"/>
    </row>
    <row r="12" ht="22" customHeight="1">
      <c r="B12" s="15" t="inlineStr">
        <is>
          <t>Tài liệu tham chiếu</t>
        </is>
      </c>
      <c r="C12" s="16" t="inlineStr">
        <is>
          <t>docs/tnpm/HLD_IMPLEMENTATION_SUMMARY.md · docs/tnpm/BACKEND_API_SPEC.md</t>
        </is>
      </c>
      <c r="D12" s="30" t="n"/>
      <c r="E12" s="30" t="n"/>
      <c r="F12" s="31" t="n"/>
    </row>
    <row r="13"/>
    <row r="14"/>
    <row r="15">
      <c r="B15" s="17" t="inlineStr">
        <is>
          <t>KPI tự động</t>
        </is>
      </c>
    </row>
    <row r="16">
      <c r="B16" s="18" t="inlineStr">
        <is>
          <t>Tổng số hạng mục</t>
        </is>
      </c>
      <c r="C16" s="19">
        <f>COUNTA('Kế hoạch'!C4:C30)</f>
        <v/>
      </c>
    </row>
    <row r="17">
      <c r="B17" s="18" t="inlineStr">
        <is>
          <t>Hoàn thành (Done)</t>
        </is>
      </c>
      <c r="C17" s="19">
        <f>COUNTIF('Kế hoạch'!P4:P30,"Done")</f>
        <v/>
      </c>
    </row>
    <row r="18">
      <c r="B18" s="18" t="inlineStr">
        <is>
          <t>Đang làm (In progress)</t>
        </is>
      </c>
      <c r="C18" s="19">
        <f>COUNTIF('Kế hoạch'!P4:P30,"In progress")</f>
        <v/>
      </c>
    </row>
    <row r="19">
      <c r="B19" s="18" t="inlineStr">
        <is>
          <t>Đang tắc (Blocked)</t>
        </is>
      </c>
      <c r="C19" s="19">
        <f>COUNTIF('Kế hoạch'!P4:P30,"Blocked")</f>
        <v/>
      </c>
    </row>
    <row r="20">
      <c r="B20" s="18" t="inlineStr">
        <is>
          <t>Tiến độ trung bình</t>
        </is>
      </c>
      <c r="C20" s="20">
        <f>AVERAGE('Kế hoạch'!Q4:Q30)</f>
        <v/>
      </c>
    </row>
  </sheetData>
  <mergeCells count="11">
    <mergeCell ref="C9:F9"/>
    <mergeCell ref="C3:F3"/>
    <mergeCell ref="C8:F8"/>
    <mergeCell ref="C4:F4"/>
    <mergeCell ref="A1:F1"/>
    <mergeCell ref="C12:F12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24" customWidth="1" min="5" max="5"/>
    <col width="36" customWidth="1" min="6" max="6"/>
  </cols>
  <sheetData>
    <row r="1" ht="30" customHeight="1">
      <c r="A1" s="1" t="inlineStr">
        <is>
          <t>NGUỒN LỰC ĐỐI ỨNG</t>
        </is>
      </c>
    </row>
    <row r="3" ht="26" customHeight="1">
      <c r="A3" s="2" t="inlineStr">
        <is>
          <t>Bên</t>
        </is>
      </c>
      <c r="B3" s="2" t="inlineStr">
        <is>
          <t>Vai trò</t>
        </is>
      </c>
      <c r="C3" s="2" t="inlineStr">
        <is>
          <t>Họ tên</t>
        </is>
      </c>
      <c r="D3" s="2" t="inlineStr">
        <is>
          <t>% Dedicate</t>
        </is>
      </c>
      <c r="E3" s="2" t="inlineStr">
        <is>
          <t>Kênh liên hệ</t>
        </is>
      </c>
      <c r="F3" s="2" t="inlineStr">
        <is>
          <t>Ghi chú</t>
        </is>
      </c>
    </row>
    <row r="4" ht="22" customHeight="1">
      <c r="A4" s="7" t="inlineStr">
        <is>
          <t>TNPM</t>
        </is>
      </c>
      <c r="B4" s="7" t="inlineStr">
        <is>
          <t>Sponsor / Chủ đầu tư</t>
        </is>
      </c>
      <c r="C4" s="7" t="inlineStr">
        <is>
          <t>(điền)</t>
        </is>
      </c>
      <c r="D4" s="7" t="inlineStr">
        <is>
          <t>10%</t>
        </is>
      </c>
      <c r="E4" s="7" t="inlineStr"/>
      <c r="F4" s="7" t="inlineStr"/>
    </row>
    <row r="5" ht="22" customHeight="1">
      <c r="A5" s="7" t="inlineStr">
        <is>
          <t>TNPM</t>
        </is>
      </c>
      <c r="B5" s="7" t="inlineStr">
        <is>
          <t>PM dự án</t>
        </is>
      </c>
      <c r="C5" s="7" t="inlineStr">
        <is>
          <t>Trung</t>
        </is>
      </c>
      <c r="D5" s="7" t="inlineStr">
        <is>
          <t>60%</t>
        </is>
      </c>
      <c r="E5" s="7" t="inlineStr"/>
      <c r="F5" s="7" t="inlineStr">
        <is>
          <t>Điều phối cross-team</t>
        </is>
      </c>
    </row>
    <row r="6" ht="22" customHeight="1">
      <c r="A6" s="7" t="inlineStr">
        <is>
          <t>TNPM</t>
        </is>
      </c>
      <c r="B6" s="7" t="inlineStr">
        <is>
          <t>BA / Finance</t>
        </is>
      </c>
      <c r="C6" s="7" t="inlineStr">
        <is>
          <t>Thịnh</t>
        </is>
      </c>
      <c r="D6" s="7" t="inlineStr">
        <is>
          <t>80%</t>
        </is>
      </c>
      <c r="E6" s="7" t="inlineStr"/>
      <c r="F6" s="7" t="inlineStr">
        <is>
          <t>Owner billing/debt/bravo requirement</t>
        </is>
      </c>
    </row>
    <row r="7" ht="22" customHeight="1">
      <c r="A7" s="7" t="inlineStr">
        <is>
          <t>TNPM</t>
        </is>
      </c>
      <c r="B7" s="7" t="inlineStr">
        <is>
          <t>BA / Operation</t>
        </is>
      </c>
      <c r="C7" s="7" t="inlineStr">
        <is>
          <t>Tú</t>
        </is>
      </c>
      <c r="D7" s="7" t="inlineStr">
        <is>
          <t>60%</t>
        </is>
      </c>
      <c r="E7" s="7" t="inlineStr"/>
      <c r="F7" s="7" t="inlineStr">
        <is>
          <t>Owner HĐ, phí, vận hành TTTM</t>
        </is>
      </c>
    </row>
    <row r="8" ht="22" customHeight="1">
      <c r="A8" s="7" t="inlineStr">
        <is>
          <t>TNPM</t>
        </is>
      </c>
      <c r="B8" s="7" t="inlineStr">
        <is>
          <t>BA / TTTM Đức</t>
        </is>
      </c>
      <c r="C8" s="7" t="inlineStr">
        <is>
          <t>Đức TTTM</t>
        </is>
      </c>
      <c r="D8" s="7" t="inlineStr">
        <is>
          <t>60%</t>
        </is>
      </c>
      <c r="E8" s="7" t="inlineStr"/>
      <c r="F8" s="7" t="inlineStr"/>
    </row>
    <row r="9" ht="22" customHeight="1">
      <c r="A9" s="7" t="inlineStr">
        <is>
          <t>TNPM</t>
        </is>
      </c>
      <c r="B9" s="7" t="inlineStr">
        <is>
          <t>IT / Hạ tầng</t>
        </is>
      </c>
      <c r="C9" s="7" t="inlineStr">
        <is>
          <t>Thiểm</t>
        </is>
      </c>
      <c r="D9" s="7" t="inlineStr">
        <is>
          <t>80%</t>
        </is>
      </c>
      <c r="E9" s="7" t="inlineStr"/>
      <c r="F9" s="7" t="inlineStr">
        <is>
          <t>Owner IAM, test, tích hợp</t>
        </is>
      </c>
    </row>
    <row r="10" ht="22" customHeight="1">
      <c r="A10" s="7" t="inlineStr">
        <is>
          <t>TNPM</t>
        </is>
      </c>
      <c r="B10" s="7" t="inlineStr">
        <is>
          <t>Data / OneS</t>
        </is>
      </c>
      <c r="C10" s="7" t="inlineStr">
        <is>
          <t>Kiên</t>
        </is>
      </c>
      <c r="D10" s="7" t="inlineStr">
        <is>
          <t>40%</t>
        </is>
      </c>
      <c r="E10" s="7" t="inlineStr"/>
      <c r="F10" s="7" t="inlineStr">
        <is>
          <t>Export + quality check</t>
        </is>
      </c>
    </row>
    <row r="11" ht="22" customHeight="1">
      <c r="A11" s="9" t="inlineStr">
        <is>
          <t>TNTECH</t>
        </is>
      </c>
      <c r="B11" s="9" t="inlineStr">
        <is>
          <t>Tech Lead / PM</t>
        </is>
      </c>
      <c r="C11" s="9" t="inlineStr">
        <is>
          <t>Dũng</t>
        </is>
      </c>
      <c r="D11" s="9" t="inlineStr">
        <is>
          <t>80%</t>
        </is>
      </c>
      <c r="E11" s="9" t="inlineStr"/>
      <c r="F11" s="9" t="inlineStr">
        <is>
          <t>Tạm giữ nhiều vai trò — kèm backup</t>
        </is>
      </c>
    </row>
    <row r="12" ht="22" customHeight="1">
      <c r="A12" s="9" t="inlineStr">
        <is>
          <t>TNTECH</t>
        </is>
      </c>
      <c r="B12" s="9" t="inlineStr">
        <is>
          <t>Backend Billing</t>
        </is>
      </c>
      <c r="C12" s="9" t="inlineStr">
        <is>
          <t>(điền)</t>
        </is>
      </c>
      <c r="D12" s="9" t="inlineStr">
        <is>
          <t>100%</t>
        </is>
      </c>
      <c r="E12" s="9" t="inlineStr"/>
      <c r="F12" s="9" t="inlineStr"/>
    </row>
    <row r="13" ht="22" customHeight="1">
      <c r="A13" s="9" t="inlineStr">
        <is>
          <t>TNTECH</t>
        </is>
      </c>
      <c r="B13" s="9" t="inlineStr">
        <is>
          <t>Backend Customer/Contract</t>
        </is>
      </c>
      <c r="C13" s="9" t="inlineStr">
        <is>
          <t>(điền)</t>
        </is>
      </c>
      <c r="D13" s="9" t="inlineStr">
        <is>
          <t>100%</t>
        </is>
      </c>
      <c r="E13" s="9" t="inlineStr"/>
      <c r="F13" s="9" t="inlineStr"/>
    </row>
    <row r="14" ht="22" customHeight="1">
      <c r="A14" s="9" t="inlineStr">
        <is>
          <t>TNTECH</t>
        </is>
      </c>
      <c r="B14" s="9" t="inlineStr">
        <is>
          <t>Frontend Lead</t>
        </is>
      </c>
      <c r="C14" s="9" t="inlineStr">
        <is>
          <t>(điền)</t>
        </is>
      </c>
      <c r="D14" s="9" t="inlineStr">
        <is>
          <t>80%</t>
        </is>
      </c>
      <c r="E14" s="9" t="inlineStr"/>
      <c r="F14" s="9" t="inlineStr">
        <is>
          <t>Wire-up mock → API</t>
        </is>
      </c>
    </row>
    <row r="15" ht="22" customHeight="1">
      <c r="A15" s="9" t="inlineStr">
        <is>
          <t>TNTECH</t>
        </is>
      </c>
      <c r="B15" s="9" t="inlineStr">
        <is>
          <t>Integration (Bravo/MSB/Zalo/Timi)</t>
        </is>
      </c>
      <c r="C15" s="9" t="inlineStr">
        <is>
          <t>(điền)</t>
        </is>
      </c>
      <c r="D15" s="9" t="inlineStr">
        <is>
          <t>100%</t>
        </is>
      </c>
      <c r="E15" s="9" t="inlineStr"/>
      <c r="F15" s="9" t="inlineStr"/>
    </row>
    <row r="16" ht="22" customHeight="1">
      <c r="A16" s="9" t="inlineStr">
        <is>
          <t>TNTECH</t>
        </is>
      </c>
      <c r="B16" s="9" t="inlineStr">
        <is>
          <t>DevOps</t>
        </is>
      </c>
      <c r="C16" s="9" t="inlineStr">
        <is>
          <t>(điền)</t>
        </is>
      </c>
      <c r="D16" s="9" t="inlineStr">
        <is>
          <t>40%</t>
        </is>
      </c>
      <c r="E16" s="9" t="inlineStr"/>
      <c r="F16" s="9" t="inlineStr"/>
    </row>
    <row r="17" ht="22" customHeight="1">
      <c r="A17" s="9" t="inlineStr">
        <is>
          <t>TNTECH</t>
        </is>
      </c>
      <c r="B17" s="9" t="inlineStr">
        <is>
          <t>QC Lead</t>
        </is>
      </c>
      <c r="C17" s="9" t="inlineStr">
        <is>
          <t>(điền)</t>
        </is>
      </c>
      <c r="D17" s="9" t="inlineStr">
        <is>
          <t>80%</t>
        </is>
      </c>
      <c r="E17" s="9" t="inlineStr"/>
      <c r="F17" s="9" t="inlineStr"/>
    </row>
    <row r="18" ht="22" customHeight="1">
      <c r="A18" s="9" t="inlineStr">
        <is>
          <t>TNTECH</t>
        </is>
      </c>
      <c r="B18" s="9" t="inlineStr">
        <is>
          <t>Tech Writer / HDSD</t>
        </is>
      </c>
      <c r="C18" s="9" t="inlineStr">
        <is>
          <t>(điền)</t>
        </is>
      </c>
      <c r="D18" s="9" t="inlineStr">
        <is>
          <t>30%</t>
        </is>
      </c>
      <c r="E18" s="9" t="inlineStr"/>
      <c r="F18" s="9" t="inlineStr"/>
    </row>
    <row r="19" ht="22" customHeight="1">
      <c r="A19" s="11" t="inlineStr">
        <is>
          <t>Bên thứ 3</t>
        </is>
      </c>
      <c r="B19" s="11" t="inlineStr">
        <is>
          <t>MSB SA / Integration</t>
        </is>
      </c>
      <c r="C19" s="11" t="inlineStr">
        <is>
          <t>(điền)</t>
        </is>
      </c>
      <c r="D19" s="11" t="inlineStr">
        <is>
          <t>—</t>
        </is>
      </c>
      <c r="E19" s="11" t="inlineStr"/>
      <c r="F19" s="11" t="inlineStr">
        <is>
          <t>Qua hợp đồng MSB Pay</t>
        </is>
      </c>
    </row>
    <row r="20" ht="22" customHeight="1">
      <c r="A20" s="11" t="inlineStr">
        <is>
          <t>Bên thứ 3</t>
        </is>
      </c>
      <c r="B20" s="11" t="inlineStr">
        <is>
          <t>Bravo Consultant</t>
        </is>
      </c>
      <c r="C20" s="11" t="inlineStr">
        <is>
          <t>(điền)</t>
        </is>
      </c>
      <c r="D20" s="11" t="inlineStr">
        <is>
          <t>—</t>
        </is>
      </c>
      <c r="E20" s="11" t="inlineStr"/>
      <c r="F20" s="11" t="inlineStr">
        <is>
          <t>Qua Bravo</t>
        </is>
      </c>
    </row>
    <row r="21" ht="22" customHeight="1">
      <c r="A21" s="11" t="inlineStr">
        <is>
          <t>Bên thứ 3</t>
        </is>
      </c>
      <c r="B21" s="11" t="inlineStr">
        <is>
          <t>Zalo OA Officer</t>
        </is>
      </c>
      <c r="C21" s="11" t="inlineStr">
        <is>
          <t>(điền)</t>
        </is>
      </c>
      <c r="D21" s="11" t="inlineStr">
        <is>
          <t>—</t>
        </is>
      </c>
      <c r="E21" s="11" t="inlineStr"/>
      <c r="F21" s="11" t="inlineStr"/>
    </row>
    <row r="22" ht="22" customHeight="1">
      <c r="A22" s="11" t="inlineStr">
        <is>
          <t>Bên thứ 3</t>
        </is>
      </c>
      <c r="B22" s="11" t="inlineStr">
        <is>
          <t>Viettel sInvoice CS</t>
        </is>
      </c>
      <c r="C22" s="11" t="inlineStr">
        <is>
          <t>(điền)</t>
        </is>
      </c>
      <c r="D22" s="11" t="inlineStr">
        <is>
          <t>—</t>
        </is>
      </c>
      <c r="E22" s="11" t="inlineStr"/>
      <c r="F22" s="11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10" customWidth="1" min="4" max="4"/>
    <col width="10" customWidth="1" min="5" max="5"/>
    <col width="40" customWidth="1" min="6" max="6"/>
    <col width="20" customWidth="1" min="7" max="7"/>
  </cols>
  <sheetData>
    <row r="1" ht="30" customHeight="1">
      <c r="A1" s="1" t="inlineStr">
        <is>
          <t>ĐĂNG KÝ RỦI RO &amp; RÀNG BUỘC</t>
        </is>
      </c>
    </row>
    <row r="3" ht="26" customHeight="1">
      <c r="A3" s="2" t="inlineStr">
        <is>
          <t>ID</t>
        </is>
      </c>
      <c r="B3" s="2" t="inlineStr">
        <is>
          <t>Hạng mục</t>
        </is>
      </c>
      <c r="C3" s="2" t="inlineStr">
        <is>
          <t>Mô tả rủi ro</t>
        </is>
      </c>
      <c r="D3" s="2" t="inlineStr">
        <is>
          <t>Khả năng</t>
        </is>
      </c>
      <c r="E3" s="2" t="inlineStr">
        <is>
          <t>Tác động</t>
        </is>
      </c>
      <c r="F3" s="2" t="inlineStr">
        <is>
          <t>Giảm thiểu</t>
        </is>
      </c>
      <c r="G3" s="2" t="inlineStr">
        <is>
          <t>Chủ sở hữu</t>
        </is>
      </c>
    </row>
    <row r="4" ht="38" customHeight="1">
      <c r="A4" s="6" t="inlineStr">
        <is>
          <t>R-01</t>
        </is>
      </c>
      <c r="B4" s="6" t="inlineStr">
        <is>
          <t>MSB Pay</t>
        </is>
      </c>
      <c r="C4" s="6" t="inlineStr">
        <is>
          <t>Chứng thực MSB rớt / chậm duyệt</t>
        </is>
      </c>
      <c r="D4" s="6" t="inlineStr">
        <is>
          <t>Trung</t>
        </is>
      </c>
      <c r="E4" s="6" t="inlineStr">
        <is>
          <t>Cao</t>
        </is>
      </c>
      <c r="F4" s="6" t="inlineStr">
        <is>
          <t>Khởi động sandbox từ tuần 1; chuẩn bị đầy đủ hồ sơ pháp lý + CKS</t>
        </is>
      </c>
      <c r="G4" s="6" t="inlineStr">
        <is>
          <t>Dũng + TNPM Pháp chế</t>
        </is>
      </c>
    </row>
    <row r="5" ht="38" customHeight="1">
      <c r="A5" s="6" t="inlineStr">
        <is>
          <t>R-02</t>
        </is>
      </c>
      <c r="B5" s="6" t="inlineStr">
        <is>
          <t>Bravo</t>
        </is>
      </c>
      <c r="C5" s="6" t="inlineStr">
        <is>
          <t>API Bravo phiên bản cũ, middleware phức tạp</t>
        </is>
      </c>
      <c r="D5" s="6" t="inlineStr">
        <is>
          <t>Cao</t>
        </is>
      </c>
      <c r="E5" s="6" t="inlineStr">
        <is>
          <t>Cao</t>
        </is>
      </c>
      <c r="F5" s="6" t="inlineStr">
        <is>
          <t>Họp kickoff với Bravo ngay tuần 1; làm PoC mapping CoA trước khi dev</t>
        </is>
      </c>
      <c r="G5" s="6" t="inlineStr">
        <is>
          <t>Thịnh + Dũng</t>
        </is>
      </c>
    </row>
    <row r="6" ht="38" customHeight="1">
      <c r="A6" s="6" t="inlineStr">
        <is>
          <t>R-03</t>
        </is>
      </c>
      <c r="B6" s="6" t="inlineStr">
        <is>
          <t>Zalo OA ZNS</t>
        </is>
      </c>
      <c r="C6" s="6" t="inlineStr">
        <is>
          <t>Template duyệt 3-7 ngày, có thể reject</t>
        </is>
      </c>
      <c r="D6" s="6" t="inlineStr">
        <is>
          <t>Cao</t>
        </is>
      </c>
      <c r="E6" s="6" t="inlineStr">
        <is>
          <t>Trung bình</t>
        </is>
      </c>
      <c r="F6" s="6" t="inlineStr">
        <is>
          <t>Soạn template song song với dev; chuẩn bị kênh backup (SMS/Email)</t>
        </is>
      </c>
      <c r="G6" s="6" t="inlineStr">
        <is>
          <t>Trung</t>
        </is>
      </c>
    </row>
    <row r="7" ht="38" customHeight="1">
      <c r="A7" s="6" t="inlineStr">
        <is>
          <t>R-04</t>
        </is>
      </c>
      <c r="B7" s="6" t="inlineStr">
        <is>
          <t>Dữ liệu OneS</t>
        </is>
      </c>
      <c r="C7" s="6" t="inlineStr">
        <is>
          <t>Dữ liệu trống/lỗi, trùng lặp</t>
        </is>
      </c>
      <c r="D7" s="6" t="inlineStr">
        <is>
          <t>Cao</t>
        </is>
      </c>
      <c r="E7" s="6" t="inlineStr">
        <is>
          <t>Cao</t>
        </is>
      </c>
      <c r="F7" s="6" t="inlineStr">
        <is>
          <t>Data quality checklist + dedup rule; wizard bắt buộc field thiếu</t>
        </is>
      </c>
      <c r="G7" s="6" t="inlineStr">
        <is>
          <t>Thịnh + Kiên</t>
        </is>
      </c>
    </row>
    <row r="8" ht="38" customHeight="1">
      <c r="A8" s="6" t="inlineStr">
        <is>
          <t>R-05</t>
        </is>
      </c>
      <c r="B8" s="6" t="inlineStr">
        <is>
          <t>Parallel phase</t>
        </is>
      </c>
      <c r="C8" s="6" t="inlineStr">
        <is>
          <t>Overlap Phase 2/3/4/5, nghẽn QC</t>
        </is>
      </c>
      <c r="D8" s="6" t="inlineStr">
        <is>
          <t>Cao</t>
        </is>
      </c>
      <c r="E8" s="6" t="inlineStr">
        <is>
          <t>Trung bình</t>
        </is>
      </c>
      <c r="F8" s="6" t="inlineStr">
        <is>
          <t>Gatekeeper theo phase; thêm QC tăng cường tuần cao điểm</t>
        </is>
      </c>
      <c r="G8" s="6" t="inlineStr">
        <is>
          <t>Thiểm + QC Lead</t>
        </is>
      </c>
    </row>
    <row r="9" ht="38" customHeight="1">
      <c r="A9" s="6" t="inlineStr">
        <is>
          <t>R-06</t>
        </is>
      </c>
      <c r="B9" s="6" t="inlineStr">
        <is>
          <t>UAT muộn</t>
        </is>
      </c>
      <c r="C9" s="6" t="inlineStr">
        <is>
          <t>TNPM chưa tổ chức UAT chuyên trách</t>
        </is>
      </c>
      <c r="D9" s="6" t="inlineStr">
        <is>
          <t>Trung</t>
        </is>
      </c>
      <c r="E9" s="6" t="inlineStr">
        <is>
          <t>Cao</t>
        </is>
      </c>
      <c r="F9" s="6" t="inlineStr">
        <is>
          <t>Chỉ định UAT coordinator TNPM; checklist UAT pre-approved</t>
        </is>
      </c>
      <c r="G9" s="6" t="inlineStr">
        <is>
          <t>Trung</t>
        </is>
      </c>
    </row>
    <row r="10" ht="38" customHeight="1">
      <c r="A10" s="6" t="inlineStr">
        <is>
          <t>R-07</t>
        </is>
      </c>
      <c r="B10" s="6" t="inlineStr">
        <is>
          <t>Scope creep</t>
        </is>
      </c>
      <c r="C10" s="6" t="inlineStr">
        <is>
          <t>Yêu cầu mới phát sinh giữa phase</t>
        </is>
      </c>
      <c r="D10" s="6" t="inlineStr">
        <is>
          <t>Cao</t>
        </is>
      </c>
      <c r="E10" s="6" t="inlineStr">
        <is>
          <t>Trung bình</t>
        </is>
      </c>
      <c r="F10" s="6" t="inlineStr">
        <is>
          <t>Change request process + impact analysis; freeze scope 1 tuần trước UAT</t>
        </is>
      </c>
      <c r="G10" s="6" t="inlineStr">
        <is>
          <t>Dũng + Trung</t>
        </is>
      </c>
    </row>
    <row r="11" ht="38" customHeight="1">
      <c r="A11" s="6" t="inlineStr">
        <is>
          <t>R-08</t>
        </is>
      </c>
      <c r="B11" s="6" t="inlineStr">
        <is>
          <t>Hỗ trợ sau Go-live</t>
        </is>
      </c>
      <c r="C11" s="6" t="inlineStr">
        <is>
          <t>Thiếu kênh P1 ngoài giờ</t>
        </is>
      </c>
      <c r="D11" s="6" t="inlineStr">
        <is>
          <t>Trung</t>
        </is>
      </c>
      <c r="E11" s="6" t="inlineStr">
        <is>
          <t>Cao</t>
        </is>
      </c>
      <c r="F11" s="6" t="inlineStr">
        <is>
          <t>SLA + on-call rota; war-room 2 tuần đầu</t>
        </is>
      </c>
      <c r="G11" s="6" t="inlineStr">
        <is>
          <t>Dũng</t>
        </is>
      </c>
    </row>
    <row r="12" ht="38" customHeight="1">
      <c r="A12" s="6" t="inlineStr">
        <is>
          <t>R-09</t>
        </is>
      </c>
      <c r="B12" s="6" t="inlineStr">
        <is>
          <t>Đào tạo xa</t>
        </is>
      </c>
      <c r="C12" s="6" t="inlineStr">
        <is>
          <t>Site ở xa không train onsite</t>
        </is>
      </c>
      <c r="D12" s="6" t="inlineStr">
        <is>
          <t>Trung</t>
        </is>
      </c>
      <c r="E12" s="6" t="inlineStr">
        <is>
          <t>Trung bình</t>
        </is>
      </c>
      <c r="F12" s="6" t="inlineStr">
        <is>
          <t>Online + video HDSD; train-the-trainer cho BQL trưởng</t>
        </is>
      </c>
      <c r="G12" s="6" t="inlineStr">
        <is>
          <t>Trung</t>
        </is>
      </c>
    </row>
    <row r="13" ht="38" customHeight="1">
      <c r="A13" s="6" t="inlineStr">
        <is>
          <t>R-10</t>
        </is>
      </c>
      <c r="B13" s="6" t="inlineStr">
        <is>
          <t>Bảo mật / Multi-tenant</t>
        </is>
      </c>
      <c r="C13" s="6" t="inlineStr">
        <is>
          <t>Rò rỉ X-Tenant-ID, data lẫn</t>
        </is>
      </c>
      <c r="D13" s="6" t="inlineStr">
        <is>
          <t>Thấp</t>
        </is>
      </c>
      <c r="E13" s="6" t="inlineStr">
        <is>
          <t>Rất cao</t>
        </is>
      </c>
      <c r="F13" s="6" t="inlineStr">
        <is>
          <t>Pen-test trước go-live; audit log full; review IAM matrix</t>
        </is>
      </c>
      <c r="G13" s="6" t="inlineStr">
        <is>
          <t>Dũng + DevOps</t>
        </is>
      </c>
    </row>
  </sheetData>
  <mergeCells count="1">
    <mergeCell ref="A1:G1"/>
  </mergeCells>
  <dataValidations count="1">
    <dataValidation sqref="D4:E40" showDropDown="0" showInputMessage="0" showErrorMessage="0" allowBlank="1" type="list">
      <formula1>"Thấp,Trung bình,Trung,Cao,Rất cao"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8" customWidth="1" min="3" max="3"/>
    <col width="14" customWidth="1" min="4" max="4"/>
  </cols>
  <sheetData>
    <row r="1" ht="30" customHeight="1">
      <c r="A1" s="1" t="inlineStr">
        <is>
          <t>CHECKLIST PRE GO-LIVE</t>
        </is>
      </c>
    </row>
    <row r="3">
      <c r="A3" s="2" t="inlineStr">
        <is>
          <t>Nhóm</t>
        </is>
      </c>
      <c r="B3" s="2" t="inlineStr">
        <is>
          <t>Mục kiểm tra</t>
        </is>
      </c>
      <c r="C3" s="2" t="inlineStr">
        <is>
          <t>Chủ sở hữu</t>
        </is>
      </c>
      <c r="D3" s="2" t="inlineStr">
        <is>
          <t>Trạng thái</t>
        </is>
      </c>
    </row>
    <row r="4" ht="22" customHeight="1">
      <c r="A4" s="6" t="inlineStr">
        <is>
          <t>Hạ tầng</t>
        </is>
      </c>
      <c r="B4" s="6" t="inlineStr">
        <is>
          <t>Tenant tnpm.reborn.vn active, SSL valid</t>
        </is>
      </c>
      <c r="C4" s="6" t="inlineStr">
        <is>
          <t>DevOps</t>
        </is>
      </c>
      <c r="D4" s="6" t="inlineStr">
        <is>
          <t>Todo</t>
        </is>
      </c>
    </row>
    <row r="5" ht="22" customHeight="1">
      <c r="A5" s="6" t="inlineStr">
        <is>
          <t>Hạ tầng</t>
        </is>
      </c>
      <c r="B5" s="6" t="inlineStr">
        <is>
          <t>Backup/restore script test thành công</t>
        </is>
      </c>
      <c r="C5" s="6" t="inlineStr">
        <is>
          <t>DevOps</t>
        </is>
      </c>
      <c r="D5" s="6" t="inlineStr">
        <is>
          <t>Todo</t>
        </is>
      </c>
    </row>
    <row r="6" ht="22" customHeight="1">
      <c r="A6" s="6" t="inlineStr">
        <is>
          <t>Hạ tầng</t>
        </is>
      </c>
      <c r="B6" s="6" t="inlineStr">
        <is>
          <t>Monitoring + alert (Prometheus/Grafana)</t>
        </is>
      </c>
      <c r="C6" s="6" t="inlineStr">
        <is>
          <t>DevOps</t>
        </is>
      </c>
      <c r="D6" s="6" t="inlineStr">
        <is>
          <t>Todo</t>
        </is>
      </c>
    </row>
    <row r="7" ht="22" customHeight="1">
      <c r="A7" s="6" t="inlineStr">
        <is>
          <t>Dữ liệu</t>
        </is>
      </c>
      <c r="B7" s="6" t="inlineStr">
        <is>
          <t>Import KH hoàn tất, dedup done</t>
        </is>
      </c>
      <c r="C7" s="6" t="inlineStr">
        <is>
          <t>Data Eng</t>
        </is>
      </c>
      <c r="D7" s="6" t="inlineStr">
        <is>
          <t>Todo</t>
        </is>
      </c>
    </row>
    <row r="8" ht="22" customHeight="1">
      <c r="A8" s="6" t="inlineStr">
        <is>
          <t>Dữ liệu</t>
        </is>
      </c>
      <c r="B8" s="6" t="inlineStr">
        <is>
          <t>HĐ dịch vụ tạo đủ cho KH active</t>
        </is>
      </c>
      <c r="C8" s="6" t="inlineStr">
        <is>
          <t>BE Contract</t>
        </is>
      </c>
      <c r="D8" s="6" t="inlineStr">
        <is>
          <t>Todo</t>
        </is>
      </c>
    </row>
    <row r="9" ht="22" customHeight="1">
      <c r="A9" s="6" t="inlineStr">
        <is>
          <t>Dữ liệu</t>
        </is>
      </c>
      <c r="B9" s="6" t="inlineStr">
        <is>
          <t>FeeType / CoA mapping chốt</t>
        </is>
      </c>
      <c r="C9" s="6" t="inlineStr">
        <is>
          <t>Kế toán</t>
        </is>
      </c>
      <c r="D9" s="6" t="inlineStr">
        <is>
          <t>Todo</t>
        </is>
      </c>
    </row>
    <row r="10" ht="22" customHeight="1">
      <c r="A10" s="6" t="inlineStr">
        <is>
          <t>Tích hợp</t>
        </is>
      </c>
      <c r="B10" s="6" t="inlineStr">
        <is>
          <t>Bravo sync test kỳ 1 OK</t>
        </is>
      </c>
      <c r="C10" s="6" t="inlineStr">
        <is>
          <t>Integration</t>
        </is>
      </c>
      <c r="D10" s="6" t="inlineStr">
        <is>
          <t>Todo</t>
        </is>
      </c>
    </row>
    <row r="11" ht="22" customHeight="1">
      <c r="A11" s="6" t="inlineStr">
        <is>
          <t>Tích hợp</t>
        </is>
      </c>
      <c r="B11" s="6" t="inlineStr">
        <is>
          <t>MSB Pay live, giao dịch end-to-end</t>
        </is>
      </c>
      <c r="C11" s="6" t="inlineStr">
        <is>
          <t>Integration</t>
        </is>
      </c>
      <c r="D11" s="6" t="inlineStr">
        <is>
          <t>Todo</t>
        </is>
      </c>
    </row>
    <row r="12" ht="22" customHeight="1">
      <c r="A12" s="6" t="inlineStr">
        <is>
          <t>Tích hợp</t>
        </is>
      </c>
      <c r="B12" s="6" t="inlineStr">
        <is>
          <t>Zalo ZNS template approved</t>
        </is>
      </c>
      <c r="C12" s="6" t="inlineStr">
        <is>
          <t>Integration</t>
        </is>
      </c>
      <c r="D12" s="6" t="inlineStr">
        <is>
          <t>Todo</t>
        </is>
      </c>
    </row>
    <row r="13" ht="22" customHeight="1">
      <c r="A13" s="6" t="inlineStr">
        <is>
          <t>Tích hợp</t>
        </is>
      </c>
      <c r="B13" s="6" t="inlineStr">
        <is>
          <t>Timi webhook idempotent</t>
        </is>
      </c>
      <c r="C13" s="6" t="inlineStr">
        <is>
          <t>BE Billing</t>
        </is>
      </c>
      <c r="D13" s="6" t="inlineStr">
        <is>
          <t>Todo</t>
        </is>
      </c>
    </row>
    <row r="14" ht="22" customHeight="1">
      <c r="A14" s="6" t="inlineStr">
        <is>
          <t>Bảo mật</t>
        </is>
      </c>
      <c r="B14" s="6" t="inlineStr">
        <is>
          <t>Pen-test done, không critical</t>
        </is>
      </c>
      <c r="C14" s="6" t="inlineStr">
        <is>
          <t>Security</t>
        </is>
      </c>
      <c r="D14" s="6" t="inlineStr">
        <is>
          <t>Todo</t>
        </is>
      </c>
    </row>
    <row r="15" ht="22" customHeight="1">
      <c r="A15" s="6" t="inlineStr">
        <is>
          <t>Bảo mật</t>
        </is>
      </c>
      <c r="B15" s="6" t="inlineStr">
        <is>
          <t>Role/permission matrix review</t>
        </is>
      </c>
      <c r="C15" s="6" t="inlineStr">
        <is>
          <t>BE IAM</t>
        </is>
      </c>
      <c r="D15" s="6" t="inlineStr">
        <is>
          <t>Todo</t>
        </is>
      </c>
    </row>
    <row r="16" ht="22" customHeight="1">
      <c r="A16" s="6" t="inlineStr">
        <is>
          <t>Bảo mật</t>
        </is>
      </c>
      <c r="B16" s="6" t="inlineStr">
        <is>
          <t>Audit log enabled toàn bộ write</t>
        </is>
      </c>
      <c r="C16" s="6" t="inlineStr">
        <is>
          <t>BE</t>
        </is>
      </c>
      <c r="D16" s="6" t="inlineStr">
        <is>
          <t>Todo</t>
        </is>
      </c>
    </row>
    <row r="17" ht="22" customHeight="1">
      <c r="A17" s="6" t="inlineStr">
        <is>
          <t>UAT</t>
        </is>
      </c>
      <c r="B17" s="6" t="inlineStr">
        <is>
          <t>UAT sign-off từ TNPM</t>
        </is>
      </c>
      <c r="C17" s="6" t="inlineStr">
        <is>
          <t>PM TNPM</t>
        </is>
      </c>
      <c r="D17" s="6" t="inlineStr">
        <is>
          <t>Todo</t>
        </is>
      </c>
    </row>
    <row r="18" ht="22" customHeight="1">
      <c r="A18" s="6" t="inlineStr">
        <is>
          <t>UAT</t>
        </is>
      </c>
      <c r="B18" s="6" t="inlineStr">
        <is>
          <t>10 case mẫu công thức phí pass</t>
        </is>
      </c>
      <c r="C18" s="6" t="inlineStr">
        <is>
          <t>QC</t>
        </is>
      </c>
      <c r="D18" s="6" t="inlineStr">
        <is>
          <t>Todo</t>
        </is>
      </c>
    </row>
    <row r="19" ht="22" customHeight="1">
      <c r="A19" s="6" t="inlineStr">
        <is>
          <t>UAT</t>
        </is>
      </c>
      <c r="B19" s="6" t="inlineStr">
        <is>
          <t>Đối soát 1 kỳ Bravo khớp</t>
        </is>
      </c>
      <c r="C19" s="6" t="inlineStr">
        <is>
          <t>Kế toán</t>
        </is>
      </c>
      <c r="D19" s="6" t="inlineStr">
        <is>
          <t>Todo</t>
        </is>
      </c>
    </row>
    <row r="20" ht="22" customHeight="1">
      <c r="A20" s="6" t="inlineStr">
        <is>
          <t>Đào tạo</t>
        </is>
      </c>
      <c r="B20" s="6" t="inlineStr">
        <is>
          <t>HDSD v1 phát hành</t>
        </is>
      </c>
      <c r="C20" s="6" t="inlineStr">
        <is>
          <t>Tech Writer</t>
        </is>
      </c>
      <c r="D20" s="6" t="inlineStr">
        <is>
          <t>Todo</t>
        </is>
      </c>
    </row>
    <row r="21" ht="22" customHeight="1">
      <c r="A21" s="6" t="inlineStr">
        <is>
          <t>Đào tạo</t>
        </is>
      </c>
      <c r="B21" s="6" t="inlineStr">
        <is>
          <t>Train-the-trainer cho BQL</t>
        </is>
      </c>
      <c r="C21" s="6" t="inlineStr">
        <is>
          <t>Support</t>
        </is>
      </c>
      <c r="D21" s="6" t="inlineStr">
        <is>
          <t>Todo</t>
        </is>
      </c>
    </row>
    <row r="22" ht="22" customHeight="1">
      <c r="A22" s="6" t="inlineStr">
        <is>
          <t>Vận hành</t>
        </is>
      </c>
      <c r="B22" s="6" t="inlineStr">
        <is>
          <t>SLA + on-call rota chốt</t>
        </is>
      </c>
      <c r="C22" s="6" t="inlineStr">
        <is>
          <t>PM TNTECH</t>
        </is>
      </c>
      <c r="D22" s="6" t="inlineStr">
        <is>
          <t>Todo</t>
        </is>
      </c>
    </row>
    <row r="23" ht="22" customHeight="1">
      <c r="A23" s="6" t="inlineStr">
        <is>
          <t>Vận hành</t>
        </is>
      </c>
      <c r="B23" s="6" t="inlineStr">
        <is>
          <t>Rollback plan viết + rehearsal</t>
        </is>
      </c>
      <c r="C23" s="6" t="inlineStr">
        <is>
          <t>DevOps</t>
        </is>
      </c>
      <c r="D23" s="6" t="inlineStr">
        <is>
          <t>Todo</t>
        </is>
      </c>
    </row>
    <row r="24" ht="22" customHeight="1">
      <c r="A24" s="6" t="inlineStr">
        <is>
          <t>Vận hành</t>
        </is>
      </c>
      <c r="B24" s="6" t="inlineStr">
        <is>
          <t>War-room 2 tuần đầu setup</t>
        </is>
      </c>
      <c r="C24" s="6" t="inlineStr">
        <is>
          <t>PM TNTECH</t>
        </is>
      </c>
      <c r="D24" s="6" t="inlineStr">
        <is>
          <t>Todo</t>
        </is>
      </c>
    </row>
  </sheetData>
  <mergeCells count="1">
    <mergeCell ref="A1:D1"/>
  </mergeCells>
  <conditionalFormatting sqref="A4:D24">
    <cfRule type="expression" priority="1" dxfId="0">
      <formula>$D4="Done"</formula>
    </cfRule>
    <cfRule type="expression" priority="2" dxfId="1">
      <formula>$D4="Blocked"</formula>
    </cfRule>
    <cfRule type="expression" priority="3" dxfId="2">
      <formula>$D4="In progress"</formula>
    </cfRule>
  </conditionalFormatting>
  <dataValidations count="1">
    <dataValidation sqref="D4:D24" showDropDown="0" showInputMessage="0" showErrorMessage="0" allowBlank="1" type="list">
      <formula1>"Todo,In progress,Blocked,Done"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10" customWidth="1" min="3" max="3"/>
  </cols>
  <sheetData>
    <row r="1" ht="30" customHeight="1">
      <c r="A1" s="1" t="inlineStr">
        <is>
          <t>QUY ƯỚC &amp; DIỄN GIẢI</t>
        </is>
      </c>
    </row>
    <row r="3">
      <c r="A3" s="2" t="inlineStr">
        <is>
          <t>Ký hiệu</t>
        </is>
      </c>
      <c r="B3" s="2" t="inlineStr">
        <is>
          <t>Ý nghĩa</t>
        </is>
      </c>
      <c r="C3" s="2" t="inlineStr">
        <is>
          <t>Màu</t>
        </is>
      </c>
    </row>
    <row r="4" ht="22" customHeight="1">
      <c r="A4" s="21" t="inlineStr">
        <is>
          <t>Độ ưu tiên P0</t>
        </is>
      </c>
      <c r="B4" s="22" t="inlineStr">
        <is>
          <t>Blocker — không xong thì mọi việc sau đều dừng</t>
        </is>
      </c>
      <c r="C4" s="23" t="n"/>
    </row>
    <row r="5" ht="22" customHeight="1">
      <c r="A5" s="21" t="inlineStr">
        <is>
          <t>Độ ưu tiên P1</t>
        </is>
      </c>
      <c r="B5" s="22" t="inlineStr">
        <is>
          <t>Must-have trong Phase 1</t>
        </is>
      </c>
      <c r="C5" s="24" t="n"/>
    </row>
    <row r="6" ht="22" customHeight="1">
      <c r="A6" s="21" t="inlineStr">
        <is>
          <t>Độ ưu tiên P2</t>
        </is>
      </c>
      <c r="B6" s="22" t="inlineStr">
        <is>
          <t>Should-have (có thể push sang Phase 2)</t>
        </is>
      </c>
      <c r="C6" s="22" t="n"/>
    </row>
    <row r="7" ht="22" customHeight="1">
      <c r="A7" s="21" t="inlineStr">
        <is>
          <t>Độ ưu tiên P3</t>
        </is>
      </c>
      <c r="B7" s="22" t="inlineStr">
        <is>
          <t>Nice-to-have</t>
        </is>
      </c>
      <c r="C7" s="22" t="n"/>
    </row>
    <row r="8" ht="22" customHeight="1">
      <c r="A8" s="21" t="inlineStr">
        <is>
          <t>Trạng thái Todo</t>
        </is>
      </c>
      <c r="B8" s="22" t="inlineStr">
        <is>
          <t>Chưa bắt đầu</t>
        </is>
      </c>
      <c r="C8" s="22" t="n"/>
    </row>
    <row r="9" ht="22" customHeight="1">
      <c r="A9" s="21" t="inlineStr">
        <is>
          <t>Trạng thái In progress</t>
        </is>
      </c>
      <c r="B9" s="22" t="inlineStr">
        <is>
          <t>Đang làm</t>
        </is>
      </c>
      <c r="C9" s="25" t="n"/>
    </row>
    <row r="10" ht="22" customHeight="1">
      <c r="A10" s="21" t="inlineStr">
        <is>
          <t>Trạng thái Blocked</t>
        </is>
      </c>
      <c r="B10" s="22" t="inlineStr">
        <is>
          <t>Bị chặn, cần can thiệp PM</t>
        </is>
      </c>
      <c r="C10" s="26" t="n"/>
    </row>
    <row r="11" ht="22" customHeight="1">
      <c r="A11" s="21" t="inlineStr">
        <is>
          <t>Trạng thái Review</t>
        </is>
      </c>
      <c r="B11" s="22" t="inlineStr">
        <is>
          <t>Đã xong, chờ duyệt</t>
        </is>
      </c>
      <c r="C11" s="22" t="n"/>
    </row>
    <row r="12" ht="22" customHeight="1">
      <c r="A12" s="21" t="inlineStr">
        <is>
          <t>Trạng thái Done</t>
        </is>
      </c>
      <c r="B12" s="22" t="inlineStr">
        <is>
          <t>Hoàn thành &amp; nghiệm thu</t>
        </is>
      </c>
      <c r="C12" s="27" t="n"/>
    </row>
    <row r="13" ht="22" customHeight="1">
      <c r="A13" s="21" t="inlineStr">
        <is>
          <t>TNPM</t>
        </is>
      </c>
      <c r="B13" s="22" t="inlineStr">
        <is>
          <t>Bên A — chủ đầu tư, cung cấp yêu cầu, UAT, sign-off</t>
        </is>
      </c>
      <c r="C13" s="28" t="n"/>
    </row>
    <row r="14" ht="22" customHeight="1">
      <c r="A14" s="21" t="inlineStr">
        <is>
          <t>TNTECH</t>
        </is>
      </c>
      <c r="B14" s="22" t="inlineStr">
        <is>
          <t>Bên B — nhà triển khai, dev, QC, DevOps, support</t>
        </is>
      </c>
      <c r="C14" s="29" t="n"/>
    </row>
    <row r="15" ht="22" customHeight="1">
      <c r="A15" s="21" t="inlineStr">
        <is>
          <t>DoD (Definition of Done)</t>
        </is>
      </c>
      <c r="B15" s="22" t="inlineStr">
        <is>
          <t>Điều kiện đo lường được để coi là hoàn thành</t>
        </is>
      </c>
      <c r="C15" s="22" t="n"/>
    </row>
    <row r="16" ht="22" customHeight="1">
      <c r="A16" s="21" t="inlineStr">
        <is>
          <t>Go-live</t>
        </is>
      </c>
      <c r="B16" s="22" t="inlineStr">
        <is>
          <t>Hệ thống chạy ở production, user thật dùng</t>
        </is>
      </c>
      <c r="C16" s="22" t="n"/>
    </row>
    <row r="17" ht="22" customHeight="1">
      <c r="A17" s="21" t="inlineStr">
        <is>
          <t>Hyper-care</t>
        </is>
      </c>
      <c r="B17" s="22" t="inlineStr">
        <is>
          <t>Giai đoạn hỗ trợ tăng cường 1-2 tuần sau go-live</t>
        </is>
      </c>
      <c r="C17" s="22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</cols>
  <sheetData>
    <row r="1" ht="28" customHeight="1">
      <c r="A1" s="34" t="inlineStr">
        <is>
          <t>NGÀY NGHỈ LỄ 2026 (áp dụng cho Phase 1)</t>
        </is>
      </c>
    </row>
    <row r="3" ht="24" customHeight="1">
      <c r="A3" s="35" t="inlineStr">
        <is>
          <t>Ngày</t>
        </is>
      </c>
      <c r="B3" s="35" t="inlineStr">
        <is>
          <t>Thứ</t>
        </is>
      </c>
      <c r="C3" s="35" t="inlineStr">
        <is>
          <t>Sự kiện</t>
        </is>
      </c>
    </row>
    <row r="4">
      <c r="A4" s="36" t="n">
        <v>46138</v>
      </c>
      <c r="B4" s="37" t="inlineStr">
        <is>
          <t>Chủ nhật</t>
        </is>
      </c>
      <c r="C4" s="38" t="inlineStr">
        <is>
          <t>Giỗ Tổ Hùng Vương (mồng 10/3 âl)</t>
        </is>
      </c>
    </row>
    <row r="5">
      <c r="A5" s="36" t="n">
        <v>46139</v>
      </c>
      <c r="B5" s="37" t="inlineStr">
        <is>
          <t>Thứ 2</t>
        </is>
      </c>
      <c r="C5" s="38" t="inlineStr">
        <is>
          <t>Nghỉ bù Giỗ Tổ</t>
        </is>
      </c>
    </row>
    <row r="6">
      <c r="A6" s="36" t="n">
        <v>46142</v>
      </c>
      <c r="B6" s="37" t="inlineStr">
        <is>
          <t>Thứ 5</t>
        </is>
      </c>
      <c r="C6" s="38" t="inlineStr">
        <is>
          <t>Giải phóng miền Nam, Thống nhất đất nước</t>
        </is>
      </c>
    </row>
    <row r="7">
      <c r="A7" s="36" t="n">
        <v>46143</v>
      </c>
      <c r="B7" s="37" t="inlineStr">
        <is>
          <t>Thứ 6</t>
        </is>
      </c>
      <c r="C7" s="38" t="inlineStr">
        <is>
          <t>Quốc tế Lao động</t>
        </is>
      </c>
    </row>
    <row r="8">
      <c r="A8" s="36" t="n">
        <v>46144</v>
      </c>
      <c r="B8" s="37" t="inlineStr">
        <is>
          <t>Thứ 7</t>
        </is>
      </c>
      <c r="C8" s="38" t="inlineStr">
        <is>
          <t>Cuối tuần</t>
        </is>
      </c>
    </row>
    <row r="9">
      <c r="A9" s="36" t="n">
        <v>46145</v>
      </c>
      <c r="B9" s="37" t="inlineStr">
        <is>
          <t>Chủ nhật</t>
        </is>
      </c>
      <c r="C9" s="38" t="inlineStr">
        <is>
          <t>Cuối tuần</t>
        </is>
      </c>
    </row>
    <row r="11" ht="36" customHeight="1">
      <c r="A11" s="39" t="inlineStr">
        <is>
          <t>Quy ước: Start/End của mọi hạng mục phải rơi vào ngày làm việc (T2–T6, không lễ). Task có thể span qua lễ nhưng mốc giao không được trùng.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2026-04-21T02:42:55Z</dcterms:created>
  <dcterms:modified xmlns:dcterms="http://purl.org/dc/terms/" xmlns:xsi="http://www.w3.org/2001/XMLSchema-instance" xsi:type="dcterms:W3CDTF">2026-04-21T02:51:46Z</dcterms:modified>
</cp:coreProperties>
</file>