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\reborn\reborn-cloud\cloud-ver2\cloud-crm\docs\tnpm-platform\06-cost-estimate\"/>
    </mc:Choice>
  </mc:AlternateContent>
  <xr:revisionPtr revIDLastSave="0" documentId="13_ncr:20001_{1EB249FC-D197-4AAA-BCC0-D01C9658FAB8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Assumptions" sheetId="1" r:id="rId1"/>
    <sheet name="Effort_by_Module" sheetId="2" r:id="rId2"/>
    <sheet name="Indirect_Costs" sheetId="3" r:id="rId3"/>
    <sheet name="Summary" sheetId="4" r:id="rId4"/>
    <sheet name="Scenario_Comparison" sheetId="5" r:id="rId5"/>
    <sheet name="OPEX_Segments" sheetId="6" r:id="rId6"/>
    <sheet name="OPEX_PlatOps" sheetId="7" r:id="rId7"/>
    <sheet name="OPEX_PassThrough" sheetId="8" r:id="rId8"/>
    <sheet name="OPEX_Summary" sheetId="9" r:id="rId9"/>
  </sheets>
  <calcPr calcId="191029" iterateDelta="1E-4"/>
  <fileRecoveryPr repairLoad="1"/>
</workbook>
</file>

<file path=xl/calcChain.xml><?xml version="1.0" encoding="utf-8"?>
<calcChain xmlns="http://schemas.openxmlformats.org/spreadsheetml/2006/main">
  <c r="F9" i="8" l="1"/>
  <c r="E9" i="8"/>
  <c r="D9" i="8"/>
  <c r="C9" i="8"/>
  <c r="F8" i="8"/>
  <c r="E8" i="8"/>
  <c r="D8" i="8"/>
  <c r="C8" i="8"/>
  <c r="F7" i="8"/>
  <c r="E7" i="8"/>
  <c r="D7" i="8"/>
  <c r="C7" i="8"/>
  <c r="F6" i="8"/>
  <c r="E6" i="8"/>
  <c r="D6" i="8"/>
  <c r="C6" i="8"/>
  <c r="F5" i="8"/>
  <c r="F10" i="8" s="1"/>
  <c r="F11" i="8" s="1"/>
  <c r="E6" i="9" s="1"/>
  <c r="E13" i="9" s="1"/>
  <c r="E5" i="8"/>
  <c r="E10" i="8" s="1"/>
  <c r="E11" i="8" s="1"/>
  <c r="D6" i="9" s="1"/>
  <c r="D13" i="9" s="1"/>
  <c r="D5" i="8"/>
  <c r="D10" i="8" s="1"/>
  <c r="D11" i="8" s="1"/>
  <c r="C6" i="9" s="1"/>
  <c r="C13" i="9" s="1"/>
  <c r="C5" i="8"/>
  <c r="C10" i="8" s="1"/>
  <c r="C11" i="8" s="1"/>
  <c r="B6" i="9" s="1"/>
  <c r="B13" i="9" s="1"/>
  <c r="F14" i="7"/>
  <c r="F15" i="7" s="1"/>
  <c r="E14" i="7"/>
  <c r="E15" i="7" s="1"/>
  <c r="D14" i="7"/>
  <c r="D15" i="7" s="1"/>
  <c r="C14" i="7"/>
  <c r="C15" i="7" s="1"/>
  <c r="E7" i="5"/>
  <c r="D7" i="5"/>
  <c r="E6" i="5"/>
  <c r="D6" i="5"/>
  <c r="E5" i="5"/>
  <c r="D5" i="5"/>
  <c r="B20" i="4"/>
  <c r="B19" i="4"/>
  <c r="C10" i="3"/>
  <c r="C6" i="5" s="1"/>
  <c r="K46" i="2"/>
  <c r="K43" i="2"/>
  <c r="I39" i="2"/>
  <c r="H39" i="2"/>
  <c r="G39" i="2"/>
  <c r="F39" i="2"/>
  <c r="E39" i="2"/>
  <c r="D39" i="2"/>
  <c r="C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J46" i="2" s="1"/>
  <c r="K31" i="2"/>
  <c r="J31" i="2"/>
  <c r="K30" i="2"/>
  <c r="J30" i="2"/>
  <c r="K29" i="2"/>
  <c r="J29" i="2"/>
  <c r="K28" i="2"/>
  <c r="J28" i="2"/>
  <c r="K27" i="2"/>
  <c r="K45" i="2" s="1"/>
  <c r="J27" i="2"/>
  <c r="J45" i="2" s="1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K44" i="2" s="1"/>
  <c r="J20" i="2"/>
  <c r="B18" i="4" s="1"/>
  <c r="K19" i="2"/>
  <c r="J19" i="2"/>
  <c r="K18" i="2"/>
  <c r="J18" i="2"/>
  <c r="K17" i="2"/>
  <c r="J17" i="2"/>
  <c r="K16" i="2"/>
  <c r="J16" i="2"/>
  <c r="K15" i="2"/>
  <c r="J15" i="2"/>
  <c r="K14" i="2"/>
  <c r="J14" i="2"/>
  <c r="J43" i="2" s="1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K42" i="2" s="1"/>
  <c r="J7" i="2"/>
  <c r="K6" i="2"/>
  <c r="J6" i="2"/>
  <c r="K5" i="2"/>
  <c r="J5" i="2"/>
  <c r="K4" i="2"/>
  <c r="K39" i="2" s="1"/>
  <c r="J4" i="2"/>
  <c r="B16" i="4" s="1"/>
  <c r="D5" i="9" l="1"/>
  <c r="B5" i="9"/>
  <c r="B6" i="5"/>
  <c r="F6" i="5" s="1"/>
  <c r="B7" i="5"/>
  <c r="C5" i="4"/>
  <c r="C7" i="4" s="1"/>
  <c r="B5" i="4"/>
  <c r="B5" i="5"/>
  <c r="F5" i="5" s="1"/>
  <c r="D5" i="4"/>
  <c r="C5" i="9"/>
  <c r="E5" i="9"/>
  <c r="J44" i="2"/>
  <c r="J39" i="2"/>
  <c r="B6" i="4"/>
  <c r="C6" i="4"/>
  <c r="C5" i="5"/>
  <c r="J42" i="2"/>
  <c r="D6" i="4"/>
  <c r="B17" i="4"/>
  <c r="B21" i="4" s="1"/>
  <c r="C7" i="5"/>
  <c r="E12" i="9" l="1"/>
  <c r="E7" i="9"/>
  <c r="C12" i="9"/>
  <c r="C7" i="9"/>
  <c r="B12" i="9"/>
  <c r="B7" i="9"/>
  <c r="C9" i="4"/>
  <c r="C10" i="4"/>
  <c r="C8" i="4"/>
  <c r="F7" i="5"/>
  <c r="D7" i="4"/>
  <c r="D12" i="9"/>
  <c r="D7" i="9"/>
  <c r="B7" i="4"/>
  <c r="E11" i="9" l="1"/>
  <c r="E14" i="9" s="1"/>
  <c r="D11" i="9"/>
  <c r="D14" i="9" s="1"/>
  <c r="C11" i="9"/>
  <c r="C14" i="9" s="1"/>
  <c r="B11" i="9"/>
  <c r="B14" i="9" s="1"/>
  <c r="C11" i="4"/>
  <c r="F17" i="7"/>
  <c r="E17" i="7"/>
  <c r="C17" i="7"/>
  <c r="D17" i="7"/>
  <c r="B9" i="4"/>
  <c r="B8" i="4"/>
  <c r="B10" i="4" s="1"/>
  <c r="B11" i="4" s="1"/>
  <c r="B15" i="9"/>
  <c r="B16" i="9"/>
  <c r="C15" i="9"/>
  <c r="C16" i="9"/>
  <c r="D15" i="9"/>
  <c r="D16" i="9"/>
  <c r="D9" i="4"/>
  <c r="D8" i="4"/>
  <c r="D10" i="4"/>
  <c r="D11" i="4" s="1"/>
  <c r="E15" i="9"/>
  <c r="E16" i="9"/>
  <c r="B17" i="9" l="1"/>
  <c r="C17" i="9"/>
  <c r="D17" i="9"/>
  <c r="E17" i="9"/>
</calcChain>
</file>

<file path=xl/sharedStrings.xml><?xml version="1.0" encoding="utf-8"?>
<sst xmlns="http://schemas.openxmlformats.org/spreadsheetml/2006/main" count="370" uniqueCount="295">
  <si>
    <t>TNPM Platform — Cost Estimate (Build-From-Scratch)</t>
  </si>
  <si>
    <t>Currency: VND (blended Vietnam mid-tier rate, 2026)</t>
  </si>
  <si>
    <t>Methodology: Bottom-up MM x Role rate. 1 MM = 22 ngày x 8h = 176 effective hours.</t>
  </si>
  <si>
    <t>#</t>
  </si>
  <si>
    <t>Role</t>
  </si>
  <si>
    <t>Rate (VND/MM)</t>
  </si>
  <si>
    <t>Seniority</t>
  </si>
  <si>
    <t>Note</t>
  </si>
  <si>
    <t>Tech Lead / Solution Architect</t>
  </si>
  <si>
    <t>10+ yrs</t>
  </si>
  <si>
    <t>Decision kiến trúc, code review, mentoring</t>
  </si>
  <si>
    <t>Senior Backend Engineer</t>
  </si>
  <si>
    <t>7-10 yrs</t>
  </si>
  <si>
    <t>Java/Spring Boot 3.2 / Vert.x / Kafka / jOOQ</t>
  </si>
  <si>
    <t>Mid Backend Engineer</t>
  </si>
  <si>
    <t>3-5 yrs</t>
  </si>
  <si>
    <t>Implement domain, test, code review junior</t>
  </si>
  <si>
    <t>Senior Frontend Engineer</t>
  </si>
  <si>
    <t>5+ yrs</t>
  </si>
  <si>
    <t>React/TS, lead FE module, design system</t>
  </si>
  <si>
    <t>Mid Frontend Engineer</t>
  </si>
  <si>
    <t>2-4 yrs</t>
  </si>
  <si>
    <t>Build page, integrate API, write test</t>
  </si>
  <si>
    <t>DevOps / Platform Engineer</t>
  </si>
  <si>
    <t>K8s, Kafka/RabbitMQ, ES, Prometheus, CI/CD</t>
  </si>
  <si>
    <t>Security Engineer</t>
  </si>
  <si>
    <t>Pentest, NHNN compliance, audit log design</t>
  </si>
  <si>
    <t>QA Lead / Test Architect</t>
  </si>
  <si>
    <t>Test strategy, automation lead</t>
  </si>
  <si>
    <t>QA Engineer</t>
  </si>
  <si>
    <t>E2E, smoke, regression, manual UAT</t>
  </si>
  <si>
    <t>Project Manager</t>
  </si>
  <si>
    <t>Schedule, stakeholder, risk, billing</t>
  </si>
  <si>
    <t>Business Analyst</t>
  </si>
  <si>
    <t>Refine spec, user story, UAT support</t>
  </si>
  <si>
    <t>UX/UI Designer</t>
  </si>
  <si>
    <t>Wireframe, design system, prototype</t>
  </si>
  <si>
    <t>Global parameters</t>
  </si>
  <si>
    <t>USD/VND exchange rate</t>
  </si>
  <si>
    <t>Contingency % (Standard scenario)</t>
  </si>
  <si>
    <t>Project Overhead %</t>
  </si>
  <si>
    <t>Contingency % (Lean)</t>
  </si>
  <si>
    <t>Contingency % (Safe)</t>
  </si>
  <si>
    <t>Lean direct labor reduction %</t>
  </si>
  <si>
    <t>Safe indirect cost increase %</t>
  </si>
  <si>
    <t>Effort by Module — Man-Month per Role</t>
  </si>
  <si>
    <t>Phase</t>
  </si>
  <si>
    <t>Module / Service</t>
  </si>
  <si>
    <t>BE Senior</t>
  </si>
  <si>
    <t>BE Mid</t>
  </si>
  <si>
    <t>FE Senior</t>
  </si>
  <si>
    <t>FE Mid</t>
  </si>
  <si>
    <t>QA Lead</t>
  </si>
  <si>
    <t>QA Eng</t>
  </si>
  <si>
    <t>Other (DevOps/Sec/TL)</t>
  </si>
  <si>
    <t>Total MM</t>
  </si>
  <si>
    <t>Module Cost (VND)</t>
  </si>
  <si>
    <t>Phase 1</t>
  </si>
  <si>
    <t>iam-service (multi-tenant, RBAC, OAuth2/JWT)</t>
  </si>
  <si>
    <t>portfolio-service (Portfolio&gt;Project&gt;Building&gt;Floor&gt;Space&gt;Unit — 8 NEW)</t>
  </si>
  <si>
    <t>customer-service (REUSE + extend property segment)</t>
  </si>
  <si>
    <t>contract-service P1 (service contract base)</t>
  </si>
  <si>
    <t>billing-service P1 (fee, rate, meter EVN bậc thang, invoice batch)</t>
  </si>
  <si>
    <t>payment-service P1 (cash, debt ledger, MSB/Timi base)</t>
  </si>
  <si>
    <t>operations-service P1 (Service Request, complaint ticket)</t>
  </si>
  <si>
    <t>notification-service P1 (template SMS/Email)</t>
  </si>
  <si>
    <t>FE P1 (~12 page core: portfolio, customer, contract, billing, debt, SR, setting)</t>
  </si>
  <si>
    <t>QA P1 (smoke + integration + E2E)</t>
  </si>
  <si>
    <t>Phase 2</t>
  </si>
  <si>
    <t>payment-service full (gateway VNPay/MoMo, auto-debit, webhook security)</t>
  </si>
  <si>
    <t>vendor-service (12 NEW: master, KPI, 3-way match, approval 4-step)</t>
  </si>
  <si>
    <t>notification-service P2 (campaign manual + template engine full)</t>
  </si>
  <si>
    <t>report-service P2 (P&amp;L per project, vendor list)</t>
  </si>
  <si>
    <t>FE P2 (~6 page vendor, invoice, KPI, gateway settings, partner)</t>
  </si>
  <si>
    <t>QA P2</t>
  </si>
  <si>
    <t>Phase 3</t>
  </si>
  <si>
    <t>contract-service lease nâng cao (escalation, deposit, auto-renew)</t>
  </si>
  <si>
    <t>billing-service CAM allocation + Turnover Rent formula</t>
  </si>
  <si>
    <t>compliance-service (B2G kho bạc + audit log + tenant scan — 10 NEW)</t>
  </si>
  <si>
    <t>operations-service Maintenance Plan + SLA escalation</t>
  </si>
  <si>
    <t>notification-service auto rule engine (12 NEW)</t>
  </si>
  <si>
    <t>FE P3 (~10 page: lease 4 tab, CAM, turnover, B2G, maintenance, audit log)</t>
  </si>
  <si>
    <t>QA P3</t>
  </si>
  <si>
    <t>Portal+Integration</t>
  </si>
  <si>
    <t>Portal auth domain (separate IAM + magic link + OTP SMS)</t>
  </si>
  <si>
    <t>Owner Portal UI (CĐT read-only dashboard P&amp;L)</t>
  </si>
  <si>
    <t>Vendor Portal UI (NCC submit invoice, approval status)</t>
  </si>
  <si>
    <t>Integration adapter MSB/Timi/VNPay/MoMo (4 adapter + HMAC + idempotency)</t>
  </si>
  <si>
    <t>Portal QA + integration test</t>
  </si>
  <si>
    <t>Cross-cutting</t>
  </si>
  <si>
    <t>Tech Lead / Architect (toàn dự án)</t>
  </si>
  <si>
    <t>DevOps / Platform (K8s, RabbitMQ/Kafka, ES, Prometheus, CI/CD)</t>
  </si>
  <si>
    <t>Security Engineer (pentest, NHNN compliance, audit log)</t>
  </si>
  <si>
    <t>UX/UI Designer (design system extension TNPM)</t>
  </si>
  <si>
    <t>Knowledge transfer + onboarding + ramp-up buffer</t>
  </si>
  <si>
    <t>TỔNG</t>
  </si>
  <si>
    <t>Direct Labor (toàn bộ effort)</t>
  </si>
  <si>
    <t>Subtotal theo Phase</t>
  </si>
  <si>
    <t>Indirect Costs — Infra, Tools, 3rd-party</t>
  </si>
  <si>
    <t>Hạng mục</t>
  </si>
  <si>
    <t>Giá trị (VND)</t>
  </si>
  <si>
    <t>Ghi chú</t>
  </si>
  <si>
    <t>Cloud infra (dev + staging + prod) 18 tháng</t>
  </si>
  <si>
    <t>K8s managed cluster, DB (PostgreSQL HA), Redis, ES cluster 3-node, RabbitMQ, S3, monitoring stack</t>
  </si>
  <si>
    <t>Tools &amp; License</t>
  </si>
  <si>
    <t>Jira/Confluence team, Figma Pro, GitLab Premium, Snyk + SonarQube</t>
  </si>
  <si>
    <t>3rd-party — Pentest 1 round</t>
  </si>
  <si>
    <t>External pentest firm, full report + retest</t>
  </si>
  <si>
    <t>3rd-party — MSB Pay onboarding &amp; cert</t>
  </si>
  <si>
    <t>Merchant onboarding fee + UAT cost</t>
  </si>
  <si>
    <t>3rd-party — Timi API access</t>
  </si>
  <si>
    <t>Setup + integration fee</t>
  </si>
  <si>
    <t>3rd-party — sInvoice license</t>
  </si>
  <si>
    <t>Hoá đơn điện tử license + integration</t>
  </si>
  <si>
    <t>Indirect Cost Subtotal</t>
  </si>
  <si>
    <t>TNPM Platform — Cost Summary (Build-From-Scratch)</t>
  </si>
  <si>
    <t>Scope: Web Admin + 12 microservice BE (Phase 1-3) + Owner/Vendor Portal + Integration MSB/Timi/VNPay/MoMo</t>
  </si>
  <si>
    <t>Lean (~6.6tỷ)</t>
  </si>
  <si>
    <t>Standard (~8.1tỷ)</t>
  </si>
  <si>
    <t>Safe (~9.0tỷ)</t>
  </si>
  <si>
    <t>Direct Labor</t>
  </si>
  <si>
    <t>Sum effort × rate per role</t>
  </si>
  <si>
    <t>Indirect Cost</t>
  </si>
  <si>
    <t>Infra + Tools + 3rd-party</t>
  </si>
  <si>
    <t>Subtotal (DL + IC)</t>
  </si>
  <si>
    <t>Contingency</t>
  </si>
  <si>
    <t>Buffer rủi ro</t>
  </si>
  <si>
    <t>Project Overhead</t>
  </si>
  <si>
    <t>PM admin, license amortization</t>
  </si>
  <si>
    <t>TỔNG VND</t>
  </si>
  <si>
    <t>TỔNG USD (tham chiếu)</t>
  </si>
  <si>
    <t>@ 1 USD = 24,500 VND</t>
  </si>
  <si>
    <t>Effort Summary</t>
  </si>
  <si>
    <t>Bucket</t>
  </si>
  <si>
    <t>MM</t>
  </si>
  <si>
    <t>Phase 1 (BE + FE + QA)</t>
  </si>
  <si>
    <t>Phase 2 (BE + FE + QA)</t>
  </si>
  <si>
    <t>Phase 3 (BE + FE + QA)</t>
  </si>
  <si>
    <t>Portal + Integration</t>
  </si>
  <si>
    <t>Cross-cutting (TL/PM/BA/UX/DevOps/Sec)</t>
  </si>
  <si>
    <t>TỔNG MM</t>
  </si>
  <si>
    <t>Khuyến nghị</t>
  </si>
  <si>
    <t>1. Dùng Standard ~8.1 tỷ VND làm cost basis chào TNTech để align internal.</t>
  </si>
  <si>
    <t>2. Lean ~6.6 tỷ chỉ khả thi khi Reborn reuse retail &gt;= 60% + team senior đa năng.</t>
  </si>
  <si>
    <t>3. Safe ~9.0 tỷ khi có CĐT lớn cần SSO/SAML, data migration, NHNN compliance scope full.</t>
  </si>
  <si>
    <t>4. Out-of-scope (tính riêng): Mobile cư dân +1.5tỷ, AI debt +800M, POS integration, Data migration, Hotline call center, On-premise deploy.</t>
  </si>
  <si>
    <t>5. Cost này KHÔNG phải pricing cho TNPM — pricing = cost × (1 + margin 30-50%) tuỳ engagement model (xem 07-business-case/).</t>
  </si>
  <si>
    <t>6. Annual maintenance fee (sau go-live) = 15-20% cost build/năm, tính riêng.</t>
  </si>
  <si>
    <t>Scenario Comparison &amp; Sensitivity</t>
  </si>
  <si>
    <t>Để TNTech chỉnh tham số trực tiếp và xem tác động lên TỔNG.</t>
  </si>
  <si>
    <t>Scenario</t>
  </si>
  <si>
    <t>Direct Labor (VND)</t>
  </si>
  <si>
    <t>Indirect (VND)</t>
  </si>
  <si>
    <t>Contingency %</t>
  </si>
  <si>
    <t>Overhead %</t>
  </si>
  <si>
    <t>Lean</t>
  </si>
  <si>
    <t>Standard</t>
  </si>
  <si>
    <t>Safe</t>
  </si>
  <si>
    <t>Out-of-scope add-ons (tính riêng nếu TNPM yêu cầu)</t>
  </si>
  <si>
    <t>Add-on</t>
  </si>
  <si>
    <t>Ước tính VND</t>
  </si>
  <si>
    <t>Khi nào cần</t>
  </si>
  <si>
    <t>Mobile cư dân Timi-like (React Native)</t>
  </si>
  <si>
    <t>Khi TNPM không dùng app Timi sẵn có</t>
  </si>
  <si>
    <t>AI phân tích công nợ</t>
  </si>
  <si>
    <t>Phase 4 — cần data &gt;= 6 tháng</t>
  </si>
  <si>
    <t>POS Integration cho TTTM tenant</t>
  </si>
  <si>
    <t>Khi tenant TTTM lớn yêu cầu turnover auto</t>
  </si>
  <si>
    <t>Data migration từ hệ thống cũ TNPM</t>
  </si>
  <si>
    <t>Tuỳ độ phức tạp data source</t>
  </si>
  <si>
    <t>Hotline call center integration</t>
  </si>
  <si>
    <t>Cần đối tác viễn thông + thiết bị</t>
  </si>
  <si>
    <t>On-premise deployment package</t>
  </si>
  <si>
    <t>Khi TNPM yêu cầu on-prem thay vì cloud</t>
  </si>
  <si>
    <t>SSO/SAML cho CĐT lớn (per CĐT)</t>
  </si>
  <si>
    <t>Vinhomes, AEON, etc.</t>
  </si>
  <si>
    <t>OPEX — 4 segment scale TNPM (chưa khoá quy mô)</t>
  </si>
  <si>
    <t>Chọn segment phù hợp khi TNPM xác nhận quy mô. TNPM ROX Key hiện tại likely là L.</t>
  </si>
  <si>
    <t>Dimension</t>
  </si>
  <si>
    <t>S — Pilot</t>
  </si>
  <si>
    <t>M — Mid-scale</t>
  </si>
  <si>
    <t>L — Large (TNPM likely)</t>
  </si>
  <si>
    <t>XL — Enterprise</t>
  </si>
  <si>
    <t># Projects (dự án)</t>
  </si>
  <si>
    <t>1-3</t>
  </si>
  <si>
    <t>4-15</t>
  </si>
  <si>
    <t>15-50</t>
  </si>
  <si>
    <t>50+</t>
  </si>
  <si>
    <t>Multi-tenant project</t>
  </si>
  <si>
    <t># Units / Space</t>
  </si>
  <si>
    <t>≤ 500</t>
  </si>
  <si>
    <t>500-3,000</t>
  </si>
  <si>
    <t>3,000-15,000</t>
  </si>
  <si>
    <t>15,000+</t>
  </si>
  <si>
    <t>Đơn vị nhà/mặt bằng</t>
  </si>
  <si>
    <t># Customers (cư dân + B2B)</t>
  </si>
  <si>
    <t>≤ 2,000</t>
  </si>
  <si>
    <t>2k-15k</t>
  </si>
  <si>
    <t>15k-60k</t>
  </si>
  <si>
    <t>60k+</t>
  </si>
  <si>
    <t>Active customers</t>
  </si>
  <si>
    <t>Invoices / tháng</t>
  </si>
  <si>
    <t>~1,000</t>
  </si>
  <si>
    <t>3k-15k</t>
  </si>
  <si>
    <t>20k-60k</t>
  </si>
  <si>
    <t>80k+</t>
  </si>
  <si>
    <t>Hoá đơn phát hành định kỳ</t>
  </si>
  <si>
    <t>Payment tx / tháng</t>
  </si>
  <si>
    <t>~700</t>
  </si>
  <si>
    <t>2k-10k</t>
  </si>
  <si>
    <t>15k-45k</t>
  </si>
  <si>
    <t>Giao dịch thanh toán</t>
  </si>
  <si>
    <t>Concurrent users (peak)</t>
  </si>
  <si>
    <t>~50</t>
  </si>
  <si>
    <t>100-300</t>
  </si>
  <si>
    <t>400-1,000</t>
  </si>
  <si>
    <t>1,500+</t>
  </si>
  <si>
    <t>Cao điểm ngày mồng 1-8</t>
  </si>
  <si>
    <t>Mô tả thực tế</t>
  </si>
  <si>
    <t>Pilot 1-2 chung cư</t>
  </si>
  <si>
    <t>TNPM năm đầu — VP + KCN nhỏ + chung cư</t>
  </si>
  <si>
    <t>Toàn portfolio ROX Key — 7 loại property</t>
  </si>
  <si>
    <t>Mở white-label cho 3rd-party CĐT (Vinhomes, Sun Group...)</t>
  </si>
  <si>
    <t>Volume estimates / tháng (input cho Pass-through sheet)</t>
  </si>
  <si>
    <t>Volume metric</t>
  </si>
  <si>
    <t>S</t>
  </si>
  <si>
    <t>M</t>
  </si>
  <si>
    <t>L</t>
  </si>
  <si>
    <t>XL</t>
  </si>
  <si>
    <t>Đơn giá tham chiếu</t>
  </si>
  <si>
    <t>— (đầu vào cho SMS/Email/Zalo/sInvoice)</t>
  </si>
  <si>
    <t>Payment transactions / tháng</t>
  </si>
  <si>
    <t>MSB ~5,000-10,000đ/tx, VNPay/MoMo ~3,000đ/tx</t>
  </si>
  <si>
    <t>SMS / tháng (5x invoice)</t>
  </si>
  <si>
    <t>Viettel/VNPT ~600đ/SMS, volume contract ~400đ</t>
  </si>
  <si>
    <t>Email / tháng (5x invoice)</t>
  </si>
  <si>
    <t>SendGrid/Mailgun ~100đ/email</t>
  </si>
  <si>
    <t>Zalo OA / tháng (1x invoice)</t>
  </si>
  <si>
    <t>~500đ/notification</t>
  </si>
  <si>
    <t>sInvoice (HĐ điện tử) / tháng</t>
  </si>
  <si>
    <t>~1,000-2,000đ/HĐ tuỳ provider</t>
  </si>
  <si>
    <t>Platform Operating Cost (PlatOps) per segment — VND/tháng</t>
  </si>
  <si>
    <t>9 component / segment. Đơn vị: triệu VND/tháng. Reborn/operator gánh — không phụ thuộc volume tx.</t>
  </si>
  <si>
    <t>Component</t>
  </si>
  <si>
    <t>Cloud Infrastructure (K8s, DB HA, Redis, ES, RabbitMQ, S3)</t>
  </si>
  <si>
    <t>Licenses &amp; Tools (monitoring, security scan, Jira/Figma)</t>
  </si>
  <si>
    <t>DevOps / SRE team (FTE × loaded rate)</t>
  </si>
  <si>
    <t>Application Support L1/L2/L3</t>
  </si>
  <si>
    <t>Annual Maintenance &amp; Evolution (15-20% cost build/12)</t>
  </si>
  <si>
    <t>Backup &amp; DR (cross-AZ, 30d retention, RTO 4h)</t>
  </si>
  <si>
    <t>Compliance &amp; Security Audit (pentest + NHNN audit /12)</t>
  </si>
  <si>
    <t>Training &amp; Documentation</t>
  </si>
  <si>
    <t>Vendor management buffer (cloud overages, ES upgrade)</t>
  </si>
  <si>
    <t>TỔNG PlatOps / tháng</t>
  </si>
  <si>
    <t>TỔNG PlatOps / năm</t>
  </si>
  <si>
    <t>Ratio PlatOps/năm vs CAPEX (Standard 8.16 tỷ)</t>
  </si>
  <si>
    <t>Pass-through Usage Cost per segment — VND/tháng</t>
  </si>
  <si>
    <t>Volume × đơn giá. TNPM trực tiếp gánh — không phụ thuộc engagement model. Khuyến nghị TNPM thu lại từ KH cuối.</t>
  </si>
  <si>
    <t>MSB / VNPay transaction fee (blended 5,000đ/tx)</t>
  </si>
  <si>
    <t>SMS OTP + nhắc nợ (600đ/SMS)</t>
  </si>
  <si>
    <t>Email (100đ/email)</t>
  </si>
  <si>
    <t>Zalo OA (500đ/noti)</t>
  </si>
  <si>
    <t>sInvoice (1,000đ/HĐ)</t>
  </si>
  <si>
    <t>TỔNG Pass-through / tháng</t>
  </si>
  <si>
    <t>TỔNG Pass-through / năm</t>
  </si>
  <si>
    <t>OPEX Summary — Annual + TCO 3 năm</t>
  </si>
  <si>
    <t>Tổng hợp PlatOps + Pass-through và Total Cost of Ownership 3 năm cho từng segment.</t>
  </si>
  <si>
    <t>M — Mid</t>
  </si>
  <si>
    <t>L — Large</t>
  </si>
  <si>
    <t>PlatOps / năm</t>
  </si>
  <si>
    <t>Reborn/operator gánh</t>
  </si>
  <si>
    <t>Pass-through / năm</t>
  </si>
  <si>
    <t>TNPM gánh, scale volume</t>
  </si>
  <si>
    <t>TỔNG OPEX / năm</t>
  </si>
  <si>
    <t>TCO 3 năm — TNPM (Reborn managed SaaS, margin PlatOps 35%)</t>
  </si>
  <si>
    <t>Year 1 — CAPEX chào TNPM (Standard + 35% margin)</t>
  </si>
  <si>
    <t>1 lần, có Lean/Safe option</t>
  </si>
  <si>
    <t>Year 1-2-3 — PlatOps × 1.35 margin / năm</t>
  </si>
  <si>
    <t>SaaS subscription bill TNPM</t>
  </si>
  <si>
    <t>Year 1-2-3 — Pass-through at-cost / năm</t>
  </si>
  <si>
    <t>Bill at-cost, transparent</t>
  </si>
  <si>
    <t>Year 1 total TNPM trả</t>
  </si>
  <si>
    <t>CAPEX + 1 năm OPEX</t>
  </si>
  <si>
    <t>Year 2 total</t>
  </si>
  <si>
    <t>Subscription only</t>
  </si>
  <si>
    <t>Year 3 total</t>
  </si>
  <si>
    <t>TCO 3 năm</t>
  </si>
  <si>
    <t>Số TNPM cần budget</t>
  </si>
  <si>
    <t>Khuyến nghị OPEX</t>
  </si>
  <si>
    <t>1. TNPM ROX Key hiện tại likely thuộc segment L — confirm với TNPM trong buổi discovery để chốt.</t>
  </si>
  <si>
    <t>2. Pass-through cost (MSB tx, SMS, sInvoice) khuyến nghị TNPM thu lại từ KH cuối — không gánh trên P&amp;L vận hành.</t>
  </si>
  <si>
    <t>3. PlatOps L = 8.82 tỷ/năm ≈ 108% CAPEX (8.16 tỷ) — chuẩn industry SaaS B2B năm 1-2, sẽ giảm xuống ~60% năm 3+ qua optimization.</t>
  </si>
  <si>
    <t>4. SaaS managed model: Reborn margin PlatOps 25-40% (chốt 35% trong sheet này). Pass-through bill at-cost transparent.</t>
  </si>
  <si>
    <t>5. Hybrid: Reborn host 12-18 tháng đầu, TNPM có option migrate on-premise sau — minimize risk 2 bên.</t>
  </si>
  <si>
    <t>6. Industry benchmark TCO 3 năm: Yardi 50-80 tỷ, MRI 60-100 tỷ. Local custom + Reborn managed nên rơi 50-65 tỷ (L segment) → competitive.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</si>
</sst>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VND&quot;;[Red]\-#,##0\ &quot;VND&quot;"/>
    <numFmt numFmtId="165" formatCode="0.0\ &quot; MM&quot;"/>
    <numFmt numFmtId="166" formatCode="\$#,##0"/>
  </numFmts>
  <fonts count="9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2"/>
      <color rgb="FF1F4E78"/>
      <name val="Calibri"/>
    </font>
    <font>
      <b/>
      <sz val="11"/>
      <name val="Calibri"/>
    </font>
    <font>
      <b/>
      <sz val="12"/>
      <color rgb="FFFFFFFF"/>
      <name val="Calibri"/>
    </font>
    <font>
      <b/>
      <sz val="12"/>
      <color rgb="FFC00000"/>
      <name val="Calibri"/>
    </font>
    <font>
      <b/>
      <sz val="11"/>
      <color rgb="FF1F4E7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C00000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9" fontId="0" fillId="0" borderId="1" xfId="0" applyNumberFormat="1" applyBorder="1" applyAlignment="1">
      <alignment horizontal="right" vertical="center"/>
    </xf>
    <xf numFmtId="165" fontId="0" fillId="0" borderId="1" xfId="0" applyNumberFormat="1" applyBorder="1"/>
    <xf numFmtId="164" fontId="0" fillId="0" borderId="1" xfId="0" applyNumberFormat="1" applyBorder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165" fontId="5" fillId="3" borderId="1" xfId="0" applyNumberFormat="1" applyFont="1" applyFill="1" applyBorder="1"/>
    <xf numFmtId="164" fontId="5" fillId="3" borderId="1" xfId="0" applyNumberFormat="1" applyFont="1" applyFill="1" applyBorder="1"/>
    <xf numFmtId="0" fontId="5" fillId="3" borderId="1" xfId="0" applyFont="1" applyFill="1" applyBorder="1" applyAlignment="1">
      <alignment horizontal="left" vertical="center" wrapText="1"/>
    </xf>
    <xf numFmtId="164" fontId="5" fillId="3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right" vertical="center"/>
    </xf>
    <xf numFmtId="166" fontId="5" fillId="3" borderId="1" xfId="0" applyNumberFormat="1" applyFont="1" applyFill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right" vertical="center"/>
    </xf>
    <xf numFmtId="9" fontId="0" fillId="0" borderId="1" xfId="0" applyNumberFormat="1" applyBorder="1"/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right" vertical="center"/>
    </xf>
    <xf numFmtId="164" fontId="0" fillId="6" borderId="1" xfId="0" applyNumberFormat="1" applyFill="1" applyBorder="1" applyAlignment="1">
      <alignment horizontal="right" vertical="center"/>
    </xf>
    <xf numFmtId="164" fontId="0" fillId="7" borderId="1" xfId="0" applyNumberFormat="1" applyFill="1" applyBorder="1" applyAlignment="1">
      <alignment horizontal="right" vertical="center"/>
    </xf>
    <xf numFmtId="164" fontId="0" fillId="8" borderId="1" xfId="0" applyNumberFormat="1" applyFill="1" applyBorder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0" fillId="0" borderId="0" xfId="0"/>
    <xf numFmtId="0" fontId="4" fillId="0" borderId="0" xfId="0" applyFont="1"/>
    <xf numFmtId="0" fontId="1" fillId="0" borderId="0" xfId="0" applyFont="1"/>
    <xf numFmtId="0" fontId="0" fillId="0" borderId="0" xfId="0" applyAlignment="1">
      <alignment horizontal="left" vertical="center" wrapText="1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workbookViewId="0">
      <selection activeCell="C8" sqref="C8"/>
    </sheetView>
  </sheetViews>
  <sheetFormatPr defaultRowHeight="14.4" x14ac:dyDescent="0.3"/>
  <cols>
    <col min="1" max="1" width="13.6640625" customWidth="1"/>
    <col min="2" max="2" width="32" customWidth="1"/>
    <col min="3" max="3" width="18" customWidth="1"/>
    <col min="4" max="4" width="16" customWidth="1"/>
    <col min="5" max="5" width="50" customWidth="1"/>
  </cols>
  <sheetData>
    <row r="1" spans="1:5" ht="18" x14ac:dyDescent="0.35">
      <c r="A1" s="33" t="s">
        <v>0</v>
      </c>
      <c r="B1" s="31"/>
      <c r="C1" s="31"/>
      <c r="D1" s="31"/>
      <c r="E1" s="31"/>
    </row>
    <row r="2" spans="1:5" x14ac:dyDescent="0.3">
      <c r="A2" s="30" t="s">
        <v>1</v>
      </c>
      <c r="B2" s="31"/>
      <c r="C2" s="31"/>
      <c r="D2" s="31"/>
      <c r="E2" s="31"/>
    </row>
    <row r="3" spans="1:5" x14ac:dyDescent="0.3">
      <c r="A3" s="30" t="s">
        <v>2</v>
      </c>
      <c r="B3" s="31"/>
      <c r="C3" s="31"/>
      <c r="D3" s="31"/>
      <c r="E3" s="31"/>
    </row>
    <row r="5" spans="1:5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x14ac:dyDescent="0.3">
      <c r="A6" s="2">
        <v>1</v>
      </c>
      <c r="B6" s="3" t="s">
        <v>8</v>
      </c>
      <c r="C6" s="4">
        <v>60000000</v>
      </c>
      <c r="D6" s="2" t="s">
        <v>9</v>
      </c>
      <c r="E6" s="3" t="s">
        <v>10</v>
      </c>
    </row>
    <row r="7" spans="1:5" x14ac:dyDescent="0.3">
      <c r="A7" s="2">
        <v>2</v>
      </c>
      <c r="B7" s="3" t="s">
        <v>11</v>
      </c>
      <c r="C7" s="4">
        <v>50000000</v>
      </c>
      <c r="D7" s="2" t="s">
        <v>12</v>
      </c>
      <c r="E7" s="3" t="s">
        <v>13</v>
      </c>
    </row>
    <row r="8" spans="1:5" x14ac:dyDescent="0.3">
      <c r="A8" s="2">
        <v>3</v>
      </c>
      <c r="B8" s="3" t="s">
        <v>14</v>
      </c>
      <c r="C8" s="4">
        <v>35000000</v>
      </c>
      <c r="D8" s="2" t="s">
        <v>15</v>
      </c>
      <c r="E8" s="3" t="s">
        <v>16</v>
      </c>
    </row>
    <row r="9" spans="1:5" x14ac:dyDescent="0.3">
      <c r="A9" s="2">
        <v>4</v>
      </c>
      <c r="B9" s="3" t="s">
        <v>17</v>
      </c>
      <c r="C9" s="4">
        <v>45000000</v>
      </c>
      <c r="D9" s="2" t="s">
        <v>18</v>
      </c>
      <c r="E9" s="3" t="s">
        <v>19</v>
      </c>
    </row>
    <row r="10" spans="1:5" x14ac:dyDescent="0.3">
      <c r="A10" s="2">
        <v>5</v>
      </c>
      <c r="B10" s="3" t="s">
        <v>20</v>
      </c>
      <c r="C10" s="4">
        <v>30000000</v>
      </c>
      <c r="D10" s="2" t="s">
        <v>21</v>
      </c>
      <c r="E10" s="3" t="s">
        <v>22</v>
      </c>
    </row>
    <row r="11" spans="1:5" x14ac:dyDescent="0.3">
      <c r="A11" s="2">
        <v>6</v>
      </c>
      <c r="B11" s="3" t="s">
        <v>23</v>
      </c>
      <c r="C11" s="4">
        <v>45000000</v>
      </c>
      <c r="D11" s="2" t="s">
        <v>18</v>
      </c>
      <c r="E11" s="3" t="s">
        <v>24</v>
      </c>
    </row>
    <row r="12" spans="1:5" x14ac:dyDescent="0.3">
      <c r="A12" s="2">
        <v>7</v>
      </c>
      <c r="B12" s="3" t="s">
        <v>25</v>
      </c>
      <c r="C12" s="4">
        <v>50000000</v>
      </c>
      <c r="D12" s="2" t="s">
        <v>18</v>
      </c>
      <c r="E12" s="3" t="s">
        <v>26</v>
      </c>
    </row>
    <row r="13" spans="1:5" x14ac:dyDescent="0.3">
      <c r="A13" s="2">
        <v>8</v>
      </c>
      <c r="B13" s="3" t="s">
        <v>27</v>
      </c>
      <c r="C13" s="4">
        <v>35000000</v>
      </c>
      <c r="D13" s="2" t="s">
        <v>18</v>
      </c>
      <c r="E13" s="3" t="s">
        <v>28</v>
      </c>
    </row>
    <row r="14" spans="1:5" x14ac:dyDescent="0.3">
      <c r="A14" s="2">
        <v>9</v>
      </c>
      <c r="B14" s="3" t="s">
        <v>29</v>
      </c>
      <c r="C14" s="4">
        <v>22000000</v>
      </c>
      <c r="D14" s="2" t="s">
        <v>21</v>
      </c>
      <c r="E14" s="3" t="s">
        <v>30</v>
      </c>
    </row>
    <row r="15" spans="1:5" x14ac:dyDescent="0.3">
      <c r="A15" s="2">
        <v>10</v>
      </c>
      <c r="B15" s="3" t="s">
        <v>31</v>
      </c>
      <c r="C15" s="4">
        <v>40000000</v>
      </c>
      <c r="D15" s="2" t="s">
        <v>18</v>
      </c>
      <c r="E15" s="3" t="s">
        <v>32</v>
      </c>
    </row>
    <row r="16" spans="1:5" x14ac:dyDescent="0.3">
      <c r="A16" s="2">
        <v>11</v>
      </c>
      <c r="B16" s="3" t="s">
        <v>33</v>
      </c>
      <c r="C16" s="4">
        <v>35000000</v>
      </c>
      <c r="D16" s="2" t="s">
        <v>15</v>
      </c>
      <c r="E16" s="3" t="s">
        <v>34</v>
      </c>
    </row>
    <row r="17" spans="1:5" x14ac:dyDescent="0.3">
      <c r="A17" s="2">
        <v>12</v>
      </c>
      <c r="B17" s="3" t="s">
        <v>35</v>
      </c>
      <c r="C17" s="4">
        <v>35000000</v>
      </c>
      <c r="D17" s="2" t="s">
        <v>15</v>
      </c>
      <c r="E17" s="3" t="s">
        <v>36</v>
      </c>
    </row>
    <row r="19" spans="1:5" ht="15.6" x14ac:dyDescent="0.3">
      <c r="A19" s="32" t="s">
        <v>37</v>
      </c>
      <c r="B19" s="31"/>
      <c r="C19" s="31"/>
      <c r="D19" s="31"/>
      <c r="E19" s="31"/>
    </row>
    <row r="20" spans="1:5" ht="47.4" customHeight="1" x14ac:dyDescent="0.3">
      <c r="A20" s="3" t="s">
        <v>38</v>
      </c>
      <c r="B20" s="5">
        <v>24500</v>
      </c>
    </row>
    <row r="21" spans="1:5" ht="64.2" customHeight="1" x14ac:dyDescent="0.3">
      <c r="A21" s="3" t="s">
        <v>39</v>
      </c>
      <c r="B21" s="6">
        <v>0.15</v>
      </c>
    </row>
    <row r="22" spans="1:5" ht="49.8" customHeight="1" x14ac:dyDescent="0.3">
      <c r="A22" s="3" t="s">
        <v>40</v>
      </c>
      <c r="B22" s="6">
        <v>0.1</v>
      </c>
    </row>
    <row r="23" spans="1:5" ht="47.4" customHeight="1" x14ac:dyDescent="0.3">
      <c r="A23" s="3" t="s">
        <v>41</v>
      </c>
      <c r="B23" s="6">
        <v>0.1</v>
      </c>
    </row>
    <row r="24" spans="1:5" ht="46.2" customHeight="1" x14ac:dyDescent="0.3">
      <c r="A24" s="3" t="s">
        <v>42</v>
      </c>
      <c r="B24" s="6">
        <v>0.25</v>
      </c>
    </row>
    <row r="25" spans="1:5" ht="61.8" customHeight="1" x14ac:dyDescent="0.3">
      <c r="A25" s="3" t="s">
        <v>43</v>
      </c>
      <c r="B25" s="6">
        <v>0.1</v>
      </c>
    </row>
    <row r="26" spans="1:5" ht="42" customHeight="1" x14ac:dyDescent="0.3">
      <c r="A26" s="3" t="s">
        <v>44</v>
      </c>
      <c r="B26" s="6">
        <v>0.2</v>
      </c>
    </row>
  </sheetData>
  <mergeCells count="4">
    <mergeCell ref="A2:E2"/>
    <mergeCell ref="A19:E19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6"/>
  <sheetViews>
    <sheetView topLeftCell="A10" workbookViewId="0">
      <selection activeCell="B8" sqref="B8"/>
    </sheetView>
  </sheetViews>
  <sheetFormatPr defaultRowHeight="14.4" x14ac:dyDescent="0.3"/>
  <cols>
    <col min="1" max="1" width="17" customWidth="1"/>
    <col min="2" max="2" width="42.6640625" customWidth="1"/>
    <col min="3" max="3" width="11" customWidth="1"/>
    <col min="4" max="4" width="10" customWidth="1"/>
    <col min="5" max="5" width="11" customWidth="1"/>
    <col min="6" max="8" width="10" customWidth="1"/>
    <col min="9" max="9" width="18" customWidth="1"/>
    <col min="10" max="10" width="11" customWidth="1"/>
    <col min="11" max="11" width="22" customWidth="1"/>
  </cols>
  <sheetData>
    <row r="1" spans="1:11" ht="21.6" customHeight="1" x14ac:dyDescent="0.35">
      <c r="A1" s="33" t="s">
        <v>45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3" spans="1:11" ht="28.8" x14ac:dyDescent="0.3">
      <c r="A3" s="1" t="s">
        <v>46</v>
      </c>
      <c r="B3" s="1" t="s">
        <v>47</v>
      </c>
      <c r="C3" s="1" t="s">
        <v>48</v>
      </c>
      <c r="D3" s="1" t="s">
        <v>49</v>
      </c>
      <c r="E3" s="1" t="s">
        <v>50</v>
      </c>
      <c r="F3" s="1" t="s">
        <v>51</v>
      </c>
      <c r="G3" s="1" t="s">
        <v>52</v>
      </c>
      <c r="H3" s="1" t="s">
        <v>53</v>
      </c>
      <c r="I3" s="1" t="s">
        <v>54</v>
      </c>
      <c r="J3" s="1" t="s">
        <v>55</v>
      </c>
      <c r="K3" s="1" t="s">
        <v>56</v>
      </c>
    </row>
    <row r="4" spans="1:11" x14ac:dyDescent="0.3">
      <c r="A4" s="2" t="s">
        <v>57</v>
      </c>
      <c r="B4" s="3" t="s">
        <v>58</v>
      </c>
      <c r="C4" s="7">
        <v>1.5</v>
      </c>
      <c r="D4" s="7">
        <v>2.5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f t="shared" ref="J4:J38" si="0">SUM(C4:I4)</f>
        <v>4</v>
      </c>
      <c r="K4" s="8">
        <f>C4*Assumptions!$C$7+D4*Assumptions!$C$8+E4*Assumptions!$C$9+F4*Assumptions!$C$10+G4*Assumptions!$C$13+H4*Assumptions!$C$14+I4*44375000</f>
        <v>162500000</v>
      </c>
    </row>
    <row r="5" spans="1:11" ht="43.2" x14ac:dyDescent="0.3">
      <c r="A5" s="2" t="s">
        <v>57</v>
      </c>
      <c r="B5" s="3" t="s">
        <v>59</v>
      </c>
      <c r="C5" s="7">
        <v>1</v>
      </c>
      <c r="D5" s="7">
        <v>1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f t="shared" si="0"/>
        <v>2</v>
      </c>
      <c r="K5" s="8">
        <f>C5*Assumptions!$C$7+D5*Assumptions!$C$8+E5*Assumptions!$C$9+F5*Assumptions!$C$10+G5*Assumptions!$C$13+H5*Assumptions!$C$14+I5*44375000</f>
        <v>85000000</v>
      </c>
    </row>
    <row r="6" spans="1:11" ht="28.8" x14ac:dyDescent="0.3">
      <c r="A6" s="2" t="s">
        <v>57</v>
      </c>
      <c r="B6" s="3" t="s">
        <v>60</v>
      </c>
      <c r="C6" s="7">
        <v>0.5</v>
      </c>
      <c r="D6" s="7">
        <v>1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f t="shared" si="0"/>
        <v>1.5</v>
      </c>
      <c r="K6" s="8">
        <f>C6*Assumptions!$C$7+D6*Assumptions!$C$8+E6*Assumptions!$C$9+F6*Assumptions!$C$10+G6*Assumptions!$C$13+H6*Assumptions!$C$14+I6*44375000</f>
        <v>60000000</v>
      </c>
    </row>
    <row r="7" spans="1:11" ht="18.600000000000001" customHeight="1" x14ac:dyDescent="0.3">
      <c r="A7" s="2" t="s">
        <v>57</v>
      </c>
      <c r="B7" s="3" t="s">
        <v>61</v>
      </c>
      <c r="C7" s="7">
        <v>1</v>
      </c>
      <c r="D7" s="7">
        <v>1.5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f t="shared" si="0"/>
        <v>2.5</v>
      </c>
      <c r="K7" s="8">
        <f>C7*Assumptions!$C$7+D7*Assumptions!$C$8+E7*Assumptions!$C$9+F7*Assumptions!$C$10+G7*Assumptions!$C$13+H7*Assumptions!$C$14+I7*44375000</f>
        <v>102500000</v>
      </c>
    </row>
    <row r="8" spans="1:11" ht="28.8" x14ac:dyDescent="0.3">
      <c r="A8" s="2" t="s">
        <v>57</v>
      </c>
      <c r="B8" s="3" t="s">
        <v>62</v>
      </c>
      <c r="C8" s="7">
        <v>2</v>
      </c>
      <c r="D8" s="7">
        <v>3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f t="shared" si="0"/>
        <v>5</v>
      </c>
      <c r="K8" s="8">
        <f>C8*Assumptions!$C$7+D8*Assumptions!$C$8+E8*Assumptions!$C$9+F8*Assumptions!$C$10+G8*Assumptions!$C$13+H8*Assumptions!$C$14+I8*44375000</f>
        <v>205000000</v>
      </c>
    </row>
    <row r="9" spans="1:11" ht="28.8" x14ac:dyDescent="0.3">
      <c r="A9" s="2" t="s">
        <v>57</v>
      </c>
      <c r="B9" s="3" t="s">
        <v>63</v>
      </c>
      <c r="C9" s="7">
        <v>1.5</v>
      </c>
      <c r="D9" s="7">
        <v>2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f t="shared" si="0"/>
        <v>3.5</v>
      </c>
      <c r="K9" s="8">
        <f>C9*Assumptions!$C$7+D9*Assumptions!$C$8+E9*Assumptions!$C$9+F9*Assumptions!$C$10+G9*Assumptions!$C$13+H9*Assumptions!$C$14+I9*44375000</f>
        <v>145000000</v>
      </c>
    </row>
    <row r="10" spans="1:11" ht="28.8" x14ac:dyDescent="0.3">
      <c r="A10" s="2" t="s">
        <v>57</v>
      </c>
      <c r="B10" s="3" t="s">
        <v>64</v>
      </c>
      <c r="C10" s="7">
        <v>1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f t="shared" si="0"/>
        <v>2</v>
      </c>
      <c r="K10" s="8">
        <f>C10*Assumptions!$C$7+D10*Assumptions!$C$8+E10*Assumptions!$C$9+F10*Assumptions!$C$10+G10*Assumptions!$C$13+H10*Assumptions!$C$14+I10*44375000</f>
        <v>85000000</v>
      </c>
    </row>
    <row r="11" spans="1:11" x14ac:dyDescent="0.3">
      <c r="A11" s="2" t="s">
        <v>57</v>
      </c>
      <c r="B11" s="3" t="s">
        <v>65</v>
      </c>
      <c r="C11" s="7">
        <v>0.5</v>
      </c>
      <c r="D11" s="7">
        <v>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f t="shared" si="0"/>
        <v>1.5</v>
      </c>
      <c r="K11" s="8">
        <f>C11*Assumptions!$C$7+D11*Assumptions!$C$8+E11*Assumptions!$C$9+F11*Assumptions!$C$10+G11*Assumptions!$C$13+H11*Assumptions!$C$14+I11*44375000</f>
        <v>60000000</v>
      </c>
    </row>
    <row r="12" spans="1:11" ht="28.8" x14ac:dyDescent="0.3">
      <c r="A12" s="2" t="s">
        <v>57</v>
      </c>
      <c r="B12" s="3" t="s">
        <v>66</v>
      </c>
      <c r="C12" s="7">
        <v>0</v>
      </c>
      <c r="D12" s="7">
        <v>0</v>
      </c>
      <c r="E12" s="7">
        <v>2.5</v>
      </c>
      <c r="F12" s="7">
        <v>5.5</v>
      </c>
      <c r="G12" s="7">
        <v>0</v>
      </c>
      <c r="H12" s="7">
        <v>0</v>
      </c>
      <c r="I12" s="7">
        <v>0</v>
      </c>
      <c r="J12" s="7">
        <f t="shared" si="0"/>
        <v>8</v>
      </c>
      <c r="K12" s="8">
        <f>C12*Assumptions!$C$7+D12*Assumptions!$C$8+E12*Assumptions!$C$9+F12*Assumptions!$C$10+G12*Assumptions!$C$13+H12*Assumptions!$C$14+I12*44375000</f>
        <v>277500000</v>
      </c>
    </row>
    <row r="13" spans="1:11" x14ac:dyDescent="0.3">
      <c r="A13" s="2" t="s">
        <v>57</v>
      </c>
      <c r="B13" s="3" t="s">
        <v>67</v>
      </c>
      <c r="C13" s="7">
        <v>0</v>
      </c>
      <c r="D13" s="7">
        <v>0</v>
      </c>
      <c r="E13" s="7">
        <v>0</v>
      </c>
      <c r="F13" s="7">
        <v>0</v>
      </c>
      <c r="G13" s="7">
        <v>1.5</v>
      </c>
      <c r="H13" s="7">
        <v>4.5</v>
      </c>
      <c r="I13" s="7">
        <v>0</v>
      </c>
      <c r="J13" s="7">
        <f t="shared" si="0"/>
        <v>6</v>
      </c>
      <c r="K13" s="8">
        <f>C13*Assumptions!$C$7+D13*Assumptions!$C$8+E13*Assumptions!$C$9+F13*Assumptions!$C$10+G13*Assumptions!$C$13+H13*Assumptions!$C$14+I13*44375000</f>
        <v>151500000</v>
      </c>
    </row>
    <row r="14" spans="1:11" ht="28.8" x14ac:dyDescent="0.3">
      <c r="A14" s="2" t="s">
        <v>68</v>
      </c>
      <c r="B14" s="3" t="s">
        <v>69</v>
      </c>
      <c r="C14" s="7">
        <v>1.5</v>
      </c>
      <c r="D14" s="7">
        <v>1.5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f t="shared" si="0"/>
        <v>3</v>
      </c>
      <c r="K14" s="8">
        <f>C14*Assumptions!$C$7+D14*Assumptions!$C$8+E14*Assumptions!$C$9+F14*Assumptions!$C$10+G14*Assumptions!$C$13+H14*Assumptions!$C$14+I14*44375000</f>
        <v>127500000</v>
      </c>
    </row>
    <row r="15" spans="1:11" ht="28.8" x14ac:dyDescent="0.3">
      <c r="A15" s="2" t="s">
        <v>68</v>
      </c>
      <c r="B15" s="3" t="s">
        <v>70</v>
      </c>
      <c r="C15" s="7">
        <v>3.5</v>
      </c>
      <c r="D15" s="7">
        <v>4.5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f t="shared" si="0"/>
        <v>8</v>
      </c>
      <c r="K15" s="8">
        <f>C15*Assumptions!$C$7+D15*Assumptions!$C$8+E15*Assumptions!$C$9+F15*Assumptions!$C$10+G15*Assumptions!$C$13+H15*Assumptions!$C$14+I15*44375000</f>
        <v>332500000</v>
      </c>
    </row>
    <row r="16" spans="1:11" ht="28.8" x14ac:dyDescent="0.3">
      <c r="A16" s="2" t="s">
        <v>68</v>
      </c>
      <c r="B16" s="3" t="s">
        <v>71</v>
      </c>
      <c r="C16" s="7">
        <v>0.5</v>
      </c>
      <c r="D16" s="7">
        <v>1.5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f t="shared" si="0"/>
        <v>2</v>
      </c>
      <c r="K16" s="8">
        <f>C16*Assumptions!$C$7+D16*Assumptions!$C$8+E16*Assumptions!$C$9+F16*Assumptions!$C$10+G16*Assumptions!$C$13+H16*Assumptions!$C$14+I16*44375000</f>
        <v>77500000</v>
      </c>
    </row>
    <row r="17" spans="1:11" x14ac:dyDescent="0.3">
      <c r="A17" s="2" t="s">
        <v>68</v>
      </c>
      <c r="B17" s="3" t="s">
        <v>72</v>
      </c>
      <c r="C17" s="7">
        <v>0.5</v>
      </c>
      <c r="D17" s="7">
        <v>1.5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f t="shared" si="0"/>
        <v>2</v>
      </c>
      <c r="K17" s="8">
        <f>C17*Assumptions!$C$7+D17*Assumptions!$C$8+E17*Assumptions!$C$9+F17*Assumptions!$C$10+G17*Assumptions!$C$13+H17*Assumptions!$C$14+I17*44375000</f>
        <v>77500000</v>
      </c>
    </row>
    <row r="18" spans="1:11" ht="28.8" x14ac:dyDescent="0.3">
      <c r="A18" s="2" t="s">
        <v>68</v>
      </c>
      <c r="B18" s="3" t="s">
        <v>73</v>
      </c>
      <c r="C18" s="7">
        <v>0</v>
      </c>
      <c r="D18" s="7">
        <v>0</v>
      </c>
      <c r="E18" s="7">
        <v>2</v>
      </c>
      <c r="F18" s="7">
        <v>4</v>
      </c>
      <c r="G18" s="7">
        <v>0</v>
      </c>
      <c r="H18" s="7">
        <v>0</v>
      </c>
      <c r="I18" s="7">
        <v>0</v>
      </c>
      <c r="J18" s="7">
        <f t="shared" si="0"/>
        <v>6</v>
      </c>
      <c r="K18" s="8">
        <f>C18*Assumptions!$C$7+D18*Assumptions!$C$8+E18*Assumptions!$C$9+F18*Assumptions!$C$10+G18*Assumptions!$C$13+H18*Assumptions!$C$14+I18*44375000</f>
        <v>210000000</v>
      </c>
    </row>
    <row r="19" spans="1:11" x14ac:dyDescent="0.3">
      <c r="A19" s="2" t="s">
        <v>68</v>
      </c>
      <c r="B19" s="3" t="s">
        <v>74</v>
      </c>
      <c r="C19" s="7">
        <v>0</v>
      </c>
      <c r="D19" s="7">
        <v>0</v>
      </c>
      <c r="E19" s="7">
        <v>0</v>
      </c>
      <c r="F19" s="7">
        <v>0</v>
      </c>
      <c r="G19" s="7">
        <v>1</v>
      </c>
      <c r="H19" s="7">
        <v>3</v>
      </c>
      <c r="I19" s="7">
        <v>0</v>
      </c>
      <c r="J19" s="7">
        <f t="shared" si="0"/>
        <v>4</v>
      </c>
      <c r="K19" s="8">
        <f>C19*Assumptions!$C$7+D19*Assumptions!$C$8+E19*Assumptions!$C$9+F19*Assumptions!$C$10+G19*Assumptions!$C$13+H19*Assumptions!$C$14+I19*44375000</f>
        <v>101000000</v>
      </c>
    </row>
    <row r="20" spans="1:11" ht="28.8" x14ac:dyDescent="0.3">
      <c r="A20" s="2" t="s">
        <v>75</v>
      </c>
      <c r="B20" s="3" t="s">
        <v>76</v>
      </c>
      <c r="C20" s="7">
        <v>1.5</v>
      </c>
      <c r="D20" s="7">
        <v>1.5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f t="shared" si="0"/>
        <v>3</v>
      </c>
      <c r="K20" s="8">
        <f>C20*Assumptions!$C$7+D20*Assumptions!$C$8+E20*Assumptions!$C$9+F20*Assumptions!$C$10+G20*Assumptions!$C$13+H20*Assumptions!$C$14+I20*44375000</f>
        <v>127500000</v>
      </c>
    </row>
    <row r="21" spans="1:11" ht="28.8" x14ac:dyDescent="0.3">
      <c r="A21" s="2" t="s">
        <v>75</v>
      </c>
      <c r="B21" s="3" t="s">
        <v>77</v>
      </c>
      <c r="C21" s="7">
        <v>2</v>
      </c>
      <c r="D21" s="7">
        <v>2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f t="shared" si="0"/>
        <v>4</v>
      </c>
      <c r="K21" s="8">
        <f>C21*Assumptions!$C$7+D21*Assumptions!$C$8+E21*Assumptions!$C$9+F21*Assumptions!$C$10+G21*Assumptions!$C$13+H21*Assumptions!$C$14+I21*44375000</f>
        <v>170000000</v>
      </c>
    </row>
    <row r="22" spans="1:11" ht="28.8" x14ac:dyDescent="0.3">
      <c r="A22" s="2" t="s">
        <v>75</v>
      </c>
      <c r="B22" s="3" t="s">
        <v>78</v>
      </c>
      <c r="C22" s="7">
        <v>3.5</v>
      </c>
      <c r="D22" s="7">
        <v>4.5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f t="shared" si="0"/>
        <v>8</v>
      </c>
      <c r="K22" s="8">
        <f>C22*Assumptions!$C$7+D22*Assumptions!$C$8+E22*Assumptions!$C$9+F22*Assumptions!$C$10+G22*Assumptions!$C$13+H22*Assumptions!$C$14+I22*44375000</f>
        <v>332500000</v>
      </c>
    </row>
    <row r="23" spans="1:11" ht="28.8" x14ac:dyDescent="0.3">
      <c r="A23" s="2" t="s">
        <v>75</v>
      </c>
      <c r="B23" s="3" t="s">
        <v>79</v>
      </c>
      <c r="C23" s="7">
        <v>1</v>
      </c>
      <c r="D23" s="7">
        <v>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f t="shared" si="0"/>
        <v>2</v>
      </c>
      <c r="K23" s="8">
        <f>C23*Assumptions!$C$7+D23*Assumptions!$C$8+E23*Assumptions!$C$9+F23*Assumptions!$C$10+G23*Assumptions!$C$13+H23*Assumptions!$C$14+I23*44375000</f>
        <v>85000000</v>
      </c>
    </row>
    <row r="24" spans="1:11" x14ac:dyDescent="0.3">
      <c r="A24" s="2" t="s">
        <v>75</v>
      </c>
      <c r="B24" s="3" t="s">
        <v>80</v>
      </c>
      <c r="C24" s="7">
        <v>0.5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f t="shared" si="0"/>
        <v>1.5</v>
      </c>
      <c r="K24" s="8">
        <f>C24*Assumptions!$C$7+D24*Assumptions!$C$8+E24*Assumptions!$C$9+F24*Assumptions!$C$10+G24*Assumptions!$C$13+H24*Assumptions!$C$14+I24*44375000</f>
        <v>60000000</v>
      </c>
    </row>
    <row r="25" spans="1:11" ht="28.8" x14ac:dyDescent="0.3">
      <c r="A25" s="2" t="s">
        <v>75</v>
      </c>
      <c r="B25" s="3" t="s">
        <v>81</v>
      </c>
      <c r="C25" s="7">
        <v>0</v>
      </c>
      <c r="D25" s="7">
        <v>0</v>
      </c>
      <c r="E25" s="7">
        <v>2</v>
      </c>
      <c r="F25" s="7">
        <v>4</v>
      </c>
      <c r="G25" s="7">
        <v>0</v>
      </c>
      <c r="H25" s="7">
        <v>0</v>
      </c>
      <c r="I25" s="7">
        <v>0</v>
      </c>
      <c r="J25" s="7">
        <f t="shared" si="0"/>
        <v>6</v>
      </c>
      <c r="K25" s="8">
        <f>C25*Assumptions!$C$7+D25*Assumptions!$C$8+E25*Assumptions!$C$9+F25*Assumptions!$C$10+G25*Assumptions!$C$13+H25*Assumptions!$C$14+I25*44375000</f>
        <v>210000000</v>
      </c>
    </row>
    <row r="26" spans="1:11" x14ac:dyDescent="0.3">
      <c r="A26" s="2" t="s">
        <v>75</v>
      </c>
      <c r="B26" s="3" t="s">
        <v>82</v>
      </c>
      <c r="C26" s="7">
        <v>0</v>
      </c>
      <c r="D26" s="7">
        <v>0</v>
      </c>
      <c r="E26" s="7">
        <v>0</v>
      </c>
      <c r="F26" s="7">
        <v>0</v>
      </c>
      <c r="G26" s="7">
        <v>1</v>
      </c>
      <c r="H26" s="7">
        <v>3</v>
      </c>
      <c r="I26" s="7">
        <v>0</v>
      </c>
      <c r="J26" s="7">
        <f t="shared" si="0"/>
        <v>4</v>
      </c>
      <c r="K26" s="8">
        <f>C26*Assumptions!$C$7+D26*Assumptions!$C$8+E26*Assumptions!$C$9+F26*Assumptions!$C$10+G26*Assumptions!$C$13+H26*Assumptions!$C$14+I26*44375000</f>
        <v>101000000</v>
      </c>
    </row>
    <row r="27" spans="1:11" ht="28.8" x14ac:dyDescent="0.3">
      <c r="A27" s="2" t="s">
        <v>83</v>
      </c>
      <c r="B27" s="3" t="s">
        <v>84</v>
      </c>
      <c r="C27" s="7">
        <v>1</v>
      </c>
      <c r="D27" s="7">
        <v>1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f t="shared" si="0"/>
        <v>2</v>
      </c>
      <c r="K27" s="8">
        <f>C27*Assumptions!$C$7+D27*Assumptions!$C$8+E27*Assumptions!$C$9+F27*Assumptions!$C$10+G27*Assumptions!$C$13+H27*Assumptions!$C$14+I27*44375000</f>
        <v>85000000</v>
      </c>
    </row>
    <row r="28" spans="1:11" ht="28.8" x14ac:dyDescent="0.3">
      <c r="A28" s="2" t="s">
        <v>83</v>
      </c>
      <c r="B28" s="3" t="s">
        <v>85</v>
      </c>
      <c r="C28" s="7">
        <v>0</v>
      </c>
      <c r="D28" s="7">
        <v>0</v>
      </c>
      <c r="E28" s="7">
        <v>0.5</v>
      </c>
      <c r="F28" s="7">
        <v>1.5</v>
      </c>
      <c r="G28" s="7">
        <v>0</v>
      </c>
      <c r="H28" s="7">
        <v>0</v>
      </c>
      <c r="I28" s="7">
        <v>0</v>
      </c>
      <c r="J28" s="7">
        <f t="shared" si="0"/>
        <v>2</v>
      </c>
      <c r="K28" s="8">
        <f>C28*Assumptions!$C$7+D28*Assumptions!$C$8+E28*Assumptions!$C$9+F28*Assumptions!$C$10+G28*Assumptions!$C$13+H28*Assumptions!$C$14+I28*44375000</f>
        <v>67500000</v>
      </c>
    </row>
    <row r="29" spans="1:11" ht="28.8" x14ac:dyDescent="0.3">
      <c r="A29" s="2" t="s">
        <v>83</v>
      </c>
      <c r="B29" s="3" t="s">
        <v>86</v>
      </c>
      <c r="C29" s="7">
        <v>0</v>
      </c>
      <c r="D29" s="7">
        <v>0</v>
      </c>
      <c r="E29" s="7">
        <v>0.5</v>
      </c>
      <c r="F29" s="7">
        <v>1.5</v>
      </c>
      <c r="G29" s="7">
        <v>0</v>
      </c>
      <c r="H29" s="7">
        <v>0</v>
      </c>
      <c r="I29" s="7">
        <v>0</v>
      </c>
      <c r="J29" s="7">
        <f t="shared" si="0"/>
        <v>2</v>
      </c>
      <c r="K29" s="8">
        <f>C29*Assumptions!$C$7+D29*Assumptions!$C$8+E29*Assumptions!$C$9+F29*Assumptions!$C$10+G29*Assumptions!$C$13+H29*Assumptions!$C$14+I29*44375000</f>
        <v>67500000</v>
      </c>
    </row>
    <row r="30" spans="1:11" ht="28.8" x14ac:dyDescent="0.3">
      <c r="A30" s="2" t="s">
        <v>83</v>
      </c>
      <c r="B30" s="3" t="s">
        <v>87</v>
      </c>
      <c r="C30" s="7">
        <v>1.5</v>
      </c>
      <c r="D30" s="7">
        <v>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f t="shared" si="0"/>
        <v>3.5</v>
      </c>
      <c r="K30" s="8">
        <f>C30*Assumptions!$C$7+D30*Assumptions!$C$8+E30*Assumptions!$C$9+F30*Assumptions!$C$10+G30*Assumptions!$C$13+H30*Assumptions!$C$14+I30*44375000</f>
        <v>145000000</v>
      </c>
    </row>
    <row r="31" spans="1:11" ht="28.8" x14ac:dyDescent="0.3">
      <c r="A31" s="2" t="s">
        <v>83</v>
      </c>
      <c r="B31" s="3" t="s">
        <v>88</v>
      </c>
      <c r="C31" s="7">
        <v>0</v>
      </c>
      <c r="D31" s="7">
        <v>0</v>
      </c>
      <c r="E31" s="7">
        <v>0</v>
      </c>
      <c r="F31" s="7">
        <v>0</v>
      </c>
      <c r="G31" s="7">
        <v>0.5</v>
      </c>
      <c r="H31" s="7">
        <v>1.5</v>
      </c>
      <c r="I31" s="7">
        <v>0</v>
      </c>
      <c r="J31" s="7">
        <f t="shared" si="0"/>
        <v>2</v>
      </c>
      <c r="K31" s="8">
        <f>C31*Assumptions!$C$7+D31*Assumptions!$C$8+E31*Assumptions!$C$9+F31*Assumptions!$C$10+G31*Assumptions!$C$13+H31*Assumptions!$C$14+I31*44375000</f>
        <v>50500000</v>
      </c>
    </row>
    <row r="32" spans="1:11" ht="28.8" x14ac:dyDescent="0.3">
      <c r="A32" s="2" t="s">
        <v>89</v>
      </c>
      <c r="B32" s="3" t="s">
        <v>90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7</v>
      </c>
      <c r="J32" s="7">
        <f t="shared" si="0"/>
        <v>7</v>
      </c>
      <c r="K32" s="8">
        <f>C32*Assumptions!$C$7+D32*Assumptions!$C$8+E32*Assumptions!$C$9+F32*Assumptions!$C$10+G32*Assumptions!$C$13+H32*Assumptions!$C$14+I32*44375000</f>
        <v>310625000</v>
      </c>
    </row>
    <row r="33" spans="1:11" ht="28.8" x14ac:dyDescent="0.3">
      <c r="A33" s="2" t="s">
        <v>89</v>
      </c>
      <c r="B33" s="3" t="s">
        <v>91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6</v>
      </c>
      <c r="J33" s="7">
        <f t="shared" si="0"/>
        <v>6</v>
      </c>
      <c r="K33" s="8">
        <f>C33*Assumptions!$C$7+D33*Assumptions!$C$8+E33*Assumptions!$C$9+F33*Assumptions!$C$10+G33*Assumptions!$C$13+H33*Assumptions!$C$14+I33*44375000</f>
        <v>266250000</v>
      </c>
    </row>
    <row r="34" spans="1:11" ht="28.8" x14ac:dyDescent="0.3">
      <c r="A34" s="2" t="s">
        <v>89</v>
      </c>
      <c r="B34" s="3" t="s">
        <v>92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2</v>
      </c>
      <c r="J34" s="7">
        <f t="shared" si="0"/>
        <v>2</v>
      </c>
      <c r="K34" s="8">
        <f>C34*Assumptions!$C$7+D34*Assumptions!$C$8+E34*Assumptions!$C$9+F34*Assumptions!$C$10+G34*Assumptions!$C$13+H34*Assumptions!$C$14+I34*44375000</f>
        <v>88750000</v>
      </c>
    </row>
    <row r="35" spans="1:11" ht="28.8" x14ac:dyDescent="0.3">
      <c r="A35" s="2" t="s">
        <v>89</v>
      </c>
      <c r="B35" s="3" t="s">
        <v>31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7</v>
      </c>
      <c r="J35" s="7">
        <f t="shared" si="0"/>
        <v>7</v>
      </c>
      <c r="K35" s="8">
        <f>C35*Assumptions!$C$7+D35*Assumptions!$C$8+E35*Assumptions!$C$9+F35*Assumptions!$C$10+G35*Assumptions!$C$13+H35*Assumptions!$C$14+I35*44375000</f>
        <v>310625000</v>
      </c>
    </row>
    <row r="36" spans="1:11" ht="28.8" x14ac:dyDescent="0.3">
      <c r="A36" s="2" t="s">
        <v>89</v>
      </c>
      <c r="B36" s="3" t="s">
        <v>33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6</v>
      </c>
      <c r="J36" s="7">
        <f t="shared" si="0"/>
        <v>6</v>
      </c>
      <c r="K36" s="8">
        <f>C36*Assumptions!$C$7+D36*Assumptions!$C$8+E36*Assumptions!$C$9+F36*Assumptions!$C$10+G36*Assumptions!$C$13+H36*Assumptions!$C$14+I36*44375000</f>
        <v>266250000</v>
      </c>
    </row>
    <row r="37" spans="1:11" ht="28.8" x14ac:dyDescent="0.3">
      <c r="A37" s="2" t="s">
        <v>89</v>
      </c>
      <c r="B37" s="3" t="s">
        <v>93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4</v>
      </c>
      <c r="J37" s="7">
        <f t="shared" si="0"/>
        <v>4</v>
      </c>
      <c r="K37" s="8">
        <f>C37*Assumptions!$C$7+D37*Assumptions!$C$8+E37*Assumptions!$C$9+F37*Assumptions!$C$10+G37*Assumptions!$C$13+H37*Assumptions!$C$14+I37*44375000</f>
        <v>177500000</v>
      </c>
    </row>
    <row r="38" spans="1:11" ht="28.8" x14ac:dyDescent="0.3">
      <c r="A38" s="2" t="s">
        <v>89</v>
      </c>
      <c r="B38" s="3" t="s">
        <v>94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10</v>
      </c>
      <c r="J38" s="7">
        <f t="shared" si="0"/>
        <v>10</v>
      </c>
      <c r="K38" s="8">
        <f>C38*Assumptions!$C$7+D38*Assumptions!$C$8+E38*Assumptions!$C$9+F38*Assumptions!$C$10+G38*Assumptions!$C$13+H38*Assumptions!$C$14+I38*44375000</f>
        <v>443750000</v>
      </c>
    </row>
    <row r="39" spans="1:11" x14ac:dyDescent="0.3">
      <c r="A39" s="9" t="s">
        <v>95</v>
      </c>
      <c r="B39" s="10" t="s">
        <v>96</v>
      </c>
      <c r="C39" s="11">
        <f t="shared" ref="C39:K39" si="1">SUM(C4:C38)</f>
        <v>26</v>
      </c>
      <c r="D39" s="11">
        <f t="shared" si="1"/>
        <v>35</v>
      </c>
      <c r="E39" s="11">
        <f t="shared" si="1"/>
        <v>7.5</v>
      </c>
      <c r="F39" s="11">
        <f t="shared" si="1"/>
        <v>16.5</v>
      </c>
      <c r="G39" s="11">
        <f t="shared" si="1"/>
        <v>4</v>
      </c>
      <c r="H39" s="11">
        <f t="shared" si="1"/>
        <v>12</v>
      </c>
      <c r="I39" s="11">
        <f t="shared" si="1"/>
        <v>42</v>
      </c>
      <c r="J39" s="11">
        <f t="shared" si="1"/>
        <v>143</v>
      </c>
      <c r="K39" s="12">
        <f t="shared" si="1"/>
        <v>5625250000</v>
      </c>
    </row>
    <row r="41" spans="1:11" ht="15.6" x14ac:dyDescent="0.3">
      <c r="A41" s="32" t="s">
        <v>97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1" x14ac:dyDescent="0.3">
      <c r="A42" s="3" t="s">
        <v>57</v>
      </c>
      <c r="J42" s="7">
        <f>SUMIF(A4:A38,"Phase 1",J4:J38)</f>
        <v>36</v>
      </c>
      <c r="K42" s="8">
        <f>SUMIF(A4:A38,"Phase 1",K4:K38)</f>
        <v>1334000000</v>
      </c>
    </row>
    <row r="43" spans="1:11" x14ac:dyDescent="0.3">
      <c r="A43" s="3" t="s">
        <v>68</v>
      </c>
      <c r="J43" s="7">
        <f>SUMIF(A4:A38,"Phase 2",J4:J38)</f>
        <v>25</v>
      </c>
      <c r="K43" s="8">
        <f>SUMIF(A4:A38,"Phase 2",K4:K38)</f>
        <v>926000000</v>
      </c>
    </row>
    <row r="44" spans="1:11" x14ac:dyDescent="0.3">
      <c r="A44" s="3" t="s">
        <v>75</v>
      </c>
      <c r="J44" s="7">
        <f>SUMIF(A4:A38,"Phase 3",J4:J38)</f>
        <v>28.5</v>
      </c>
      <c r="K44" s="8">
        <f>SUMIF(A4:A38,"Phase 3",K4:K38)</f>
        <v>1086000000</v>
      </c>
    </row>
    <row r="45" spans="1:11" ht="28.8" x14ac:dyDescent="0.3">
      <c r="A45" s="3" t="s">
        <v>83</v>
      </c>
      <c r="J45" s="7">
        <f>SUMIF(A4:A38,"Portal+Integration",J4:J38)</f>
        <v>11.5</v>
      </c>
      <c r="K45" s="8">
        <f>SUMIF(A4:A38,"Portal+Integration",K4:K38)</f>
        <v>415500000</v>
      </c>
    </row>
    <row r="46" spans="1:11" ht="28.8" x14ac:dyDescent="0.3">
      <c r="A46" s="3" t="s">
        <v>89</v>
      </c>
      <c r="J46" s="7">
        <f>SUMIF(A4:A38,"Cross-cutting",J4:J38)</f>
        <v>42</v>
      </c>
      <c r="K46" s="8">
        <f>SUMIF(A4:A38,"Cross-cutting",K4:K38)</f>
        <v>1863750000</v>
      </c>
    </row>
  </sheetData>
  <mergeCells count="2">
    <mergeCell ref="A1:K1"/>
    <mergeCell ref="A41:K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C10" sqref="C10"/>
    </sheetView>
  </sheetViews>
  <sheetFormatPr defaultRowHeight="14.4" x14ac:dyDescent="0.3"/>
  <cols>
    <col min="1" max="1" width="5" customWidth="1"/>
    <col min="2" max="2" width="50" customWidth="1"/>
    <col min="3" max="3" width="18" customWidth="1"/>
    <col min="4" max="4" width="60" customWidth="1"/>
  </cols>
  <sheetData>
    <row r="1" spans="1:4" ht="18" x14ac:dyDescent="0.35">
      <c r="A1" s="33" t="s">
        <v>98</v>
      </c>
      <c r="B1" s="31"/>
      <c r="C1" s="31"/>
      <c r="D1" s="31"/>
    </row>
    <row r="3" spans="1:4" x14ac:dyDescent="0.3">
      <c r="A3" s="1" t="s">
        <v>3</v>
      </c>
      <c r="B3" s="1" t="s">
        <v>99</v>
      </c>
      <c r="C3" s="1" t="s">
        <v>100</v>
      </c>
      <c r="D3" s="1" t="s">
        <v>101</v>
      </c>
    </row>
    <row r="4" spans="1:4" ht="28.8" x14ac:dyDescent="0.3">
      <c r="A4" s="2">
        <v>1</v>
      </c>
      <c r="B4" s="3" t="s">
        <v>102</v>
      </c>
      <c r="C4" s="4">
        <v>600000000</v>
      </c>
      <c r="D4" s="3" t="s">
        <v>103</v>
      </c>
    </row>
    <row r="5" spans="1:4" x14ac:dyDescent="0.3">
      <c r="A5" s="2">
        <v>2</v>
      </c>
      <c r="B5" s="3" t="s">
        <v>104</v>
      </c>
      <c r="C5" s="4">
        <v>100000000</v>
      </c>
      <c r="D5" s="3" t="s">
        <v>105</v>
      </c>
    </row>
    <row r="6" spans="1:4" x14ac:dyDescent="0.3">
      <c r="A6" s="2">
        <v>3</v>
      </c>
      <c r="B6" s="3" t="s">
        <v>106</v>
      </c>
      <c r="C6" s="4">
        <v>80000000</v>
      </c>
      <c r="D6" s="3" t="s">
        <v>107</v>
      </c>
    </row>
    <row r="7" spans="1:4" x14ac:dyDescent="0.3">
      <c r="A7" s="2">
        <v>4</v>
      </c>
      <c r="B7" s="3" t="s">
        <v>108</v>
      </c>
      <c r="C7" s="4">
        <v>50000000</v>
      </c>
      <c r="D7" s="3" t="s">
        <v>109</v>
      </c>
    </row>
    <row r="8" spans="1:4" x14ac:dyDescent="0.3">
      <c r="A8" s="2">
        <v>5</v>
      </c>
      <c r="B8" s="3" t="s">
        <v>110</v>
      </c>
      <c r="C8" s="4">
        <v>30000000</v>
      </c>
      <c r="D8" s="3" t="s">
        <v>111</v>
      </c>
    </row>
    <row r="9" spans="1:4" x14ac:dyDescent="0.3">
      <c r="A9" s="2">
        <v>6</v>
      </c>
      <c r="B9" s="3" t="s">
        <v>112</v>
      </c>
      <c r="C9" s="4">
        <v>40000000</v>
      </c>
      <c r="D9" s="3" t="s">
        <v>113</v>
      </c>
    </row>
    <row r="10" spans="1:4" ht="28.8" x14ac:dyDescent="0.3">
      <c r="A10" s="9" t="s">
        <v>95</v>
      </c>
      <c r="B10" s="10" t="s">
        <v>114</v>
      </c>
      <c r="C10" s="12">
        <f>SUM(C4:C9)</f>
        <v>900000000</v>
      </c>
      <c r="D10" s="10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workbookViewId="0">
      <selection activeCell="A30" sqref="A30:E30"/>
    </sheetView>
  </sheetViews>
  <sheetFormatPr defaultRowHeight="14.4" x14ac:dyDescent="0.3"/>
  <cols>
    <col min="1" max="1" width="40" customWidth="1"/>
    <col min="2" max="2" width="20.88671875" customWidth="1"/>
    <col min="3" max="3" width="22.109375" customWidth="1"/>
    <col min="4" max="4" width="21.88671875" customWidth="1"/>
    <col min="5" max="5" width="50" customWidth="1"/>
  </cols>
  <sheetData>
    <row r="1" spans="1:5" ht="18" x14ac:dyDescent="0.35">
      <c r="A1" s="33" t="s">
        <v>115</v>
      </c>
      <c r="B1" s="31"/>
      <c r="C1" s="31"/>
      <c r="D1" s="31"/>
      <c r="E1" s="31"/>
    </row>
    <row r="2" spans="1:5" x14ac:dyDescent="0.3">
      <c r="A2" s="30" t="s">
        <v>116</v>
      </c>
      <c r="B2" s="31"/>
      <c r="C2" s="31"/>
      <c r="D2" s="31"/>
      <c r="E2" s="31"/>
    </row>
    <row r="4" spans="1:5" x14ac:dyDescent="0.3">
      <c r="A4" s="1" t="s">
        <v>99</v>
      </c>
      <c r="B4" s="1" t="s">
        <v>117</v>
      </c>
      <c r="C4" s="1" t="s">
        <v>118</v>
      </c>
      <c r="D4" s="1" t="s">
        <v>119</v>
      </c>
      <c r="E4" s="1" t="s">
        <v>101</v>
      </c>
    </row>
    <row r="5" spans="1:5" x14ac:dyDescent="0.3">
      <c r="A5" s="3" t="s">
        <v>120</v>
      </c>
      <c r="B5" s="4">
        <f>Effort_by_Module!K39*(1-Assumptions!$B$25)</f>
        <v>5062725000</v>
      </c>
      <c r="C5" s="4">
        <f>Effort_by_Module!K39</f>
        <v>5625250000</v>
      </c>
      <c r="D5" s="4">
        <f>Effort_by_Module!K39</f>
        <v>5625250000</v>
      </c>
      <c r="E5" s="3" t="s">
        <v>121</v>
      </c>
    </row>
    <row r="6" spans="1:5" x14ac:dyDescent="0.3">
      <c r="A6" s="3" t="s">
        <v>122</v>
      </c>
      <c r="B6" s="4">
        <f>Indirect_Costs!C10</f>
        <v>900000000</v>
      </c>
      <c r="C6" s="4">
        <f>Indirect_Costs!C10</f>
        <v>900000000</v>
      </c>
      <c r="D6" s="4">
        <f>Indirect_Costs!C10*(1+Assumptions!$B$26)</f>
        <v>1080000000</v>
      </c>
      <c r="E6" s="3" t="s">
        <v>123</v>
      </c>
    </row>
    <row r="7" spans="1:5" x14ac:dyDescent="0.3">
      <c r="A7" s="13" t="s">
        <v>124</v>
      </c>
      <c r="B7" s="14">
        <f>B5+B6</f>
        <v>5962725000</v>
      </c>
      <c r="C7" s="14">
        <f>C5+C6</f>
        <v>6525250000</v>
      </c>
      <c r="D7" s="14">
        <f>D5+D6</f>
        <v>6705250000</v>
      </c>
      <c r="E7" s="13"/>
    </row>
    <row r="8" spans="1:5" x14ac:dyDescent="0.3">
      <c r="A8" s="3" t="s">
        <v>125</v>
      </c>
      <c r="B8" s="4">
        <f>B7*Assumptions!$B$23</f>
        <v>596272500</v>
      </c>
      <c r="C8" s="4">
        <f>C7*Assumptions!$B$21</f>
        <v>978787500</v>
      </c>
      <c r="D8" s="4">
        <f>D7*Assumptions!$B$24</f>
        <v>1676312500</v>
      </c>
      <c r="E8" s="3" t="s">
        <v>126</v>
      </c>
    </row>
    <row r="9" spans="1:5" x14ac:dyDescent="0.3">
      <c r="A9" s="3" t="s">
        <v>127</v>
      </c>
      <c r="B9" s="4">
        <f>B7*Assumptions!$B$22</f>
        <v>596272500</v>
      </c>
      <c r="C9" s="4">
        <f>C7*Assumptions!$B$22</f>
        <v>652525000</v>
      </c>
      <c r="D9" s="4">
        <f>D7*Assumptions!$B$22</f>
        <v>670525000</v>
      </c>
      <c r="E9" s="3" t="s">
        <v>128</v>
      </c>
    </row>
    <row r="10" spans="1:5" ht="15.6" x14ac:dyDescent="0.3">
      <c r="A10" s="15" t="s">
        <v>129</v>
      </c>
      <c r="B10" s="16">
        <f>B7+B8+B9</f>
        <v>7155270000</v>
      </c>
      <c r="C10" s="16">
        <f>C7+C8+C9</f>
        <v>8156562500</v>
      </c>
      <c r="D10" s="16">
        <f>D7+D8+D9</f>
        <v>9052087500</v>
      </c>
      <c r="E10" s="15"/>
    </row>
    <row r="11" spans="1:5" x14ac:dyDescent="0.3">
      <c r="A11" s="13" t="s">
        <v>130</v>
      </c>
      <c r="B11" s="17">
        <f>B10/Assumptions!$B$20</f>
        <v>292051.8367346939</v>
      </c>
      <c r="C11" s="17">
        <f>C10/Assumptions!$B$20</f>
        <v>332920.91836734692</v>
      </c>
      <c r="D11" s="17">
        <f>D10/Assumptions!$B$20</f>
        <v>369472.95918367349</v>
      </c>
      <c r="E11" s="13" t="s">
        <v>131</v>
      </c>
    </row>
    <row r="14" spans="1:5" ht="15.6" x14ac:dyDescent="0.3">
      <c r="A14" s="32" t="s">
        <v>132</v>
      </c>
      <c r="B14" s="31"/>
      <c r="C14" s="31"/>
      <c r="D14" s="31"/>
      <c r="E14" s="31"/>
    </row>
    <row r="15" spans="1:5" x14ac:dyDescent="0.3">
      <c r="A15" s="1" t="s">
        <v>133</v>
      </c>
      <c r="B15" s="1" t="s">
        <v>134</v>
      </c>
      <c r="C15" s="1"/>
      <c r="D15" s="1"/>
      <c r="E15" s="1"/>
    </row>
    <row r="16" spans="1:5" x14ac:dyDescent="0.3">
      <c r="A16" s="3" t="s">
        <v>135</v>
      </c>
      <c r="B16" s="18">
        <f>SUMIF(Effort_by_Module!A4:A38,"Phase 1",Effort_by_Module!J4:J38)</f>
        <v>36</v>
      </c>
    </row>
    <row r="17" spans="1:5" x14ac:dyDescent="0.3">
      <c r="A17" s="3" t="s">
        <v>136</v>
      </c>
      <c r="B17" s="18">
        <f>SUMIF(Effort_by_Module!A4:A38,"Phase 2",Effort_by_Module!J4:J38)</f>
        <v>25</v>
      </c>
    </row>
    <row r="18" spans="1:5" x14ac:dyDescent="0.3">
      <c r="A18" s="3" t="s">
        <v>137</v>
      </c>
      <c r="B18" s="18">
        <f>SUMIF(Effort_by_Module!A4:A38,"Phase 3",Effort_by_Module!J4:J38)</f>
        <v>28.5</v>
      </c>
    </row>
    <row r="19" spans="1:5" x14ac:dyDescent="0.3">
      <c r="A19" s="3" t="s">
        <v>138</v>
      </c>
      <c r="B19" s="18">
        <f>SUMIF(Effort_by_Module!A4:A38,"Portal+Integration",Effort_by_Module!J4:J38)</f>
        <v>11.5</v>
      </c>
    </row>
    <row r="20" spans="1:5" x14ac:dyDescent="0.3">
      <c r="A20" s="3" t="s">
        <v>139</v>
      </c>
      <c r="B20" s="18">
        <f>SUMIF(Effort_by_Module!A4:A38,"Cross-cutting",Effort_by_Module!J4:J38)</f>
        <v>42</v>
      </c>
    </row>
    <row r="21" spans="1:5" x14ac:dyDescent="0.3">
      <c r="A21" s="13" t="s">
        <v>140</v>
      </c>
      <c r="B21" s="19">
        <f>B16+B17+B18+B19+B20</f>
        <v>143</v>
      </c>
      <c r="C21" s="10"/>
      <c r="D21" s="10"/>
      <c r="E21" s="10"/>
    </row>
    <row r="24" spans="1:5" ht="15.6" x14ac:dyDescent="0.3">
      <c r="A24" s="35" t="s">
        <v>141</v>
      </c>
      <c r="B24" s="31"/>
      <c r="C24" s="31"/>
      <c r="D24" s="31"/>
      <c r="E24" s="31"/>
    </row>
    <row r="25" spans="1:5" x14ac:dyDescent="0.3">
      <c r="A25" s="34" t="s">
        <v>142</v>
      </c>
      <c r="B25" s="31"/>
      <c r="C25" s="31"/>
      <c r="D25" s="31"/>
      <c r="E25" s="31"/>
    </row>
    <row r="26" spans="1:5" x14ac:dyDescent="0.3">
      <c r="A26" s="34" t="s">
        <v>143</v>
      </c>
      <c r="B26" s="31"/>
      <c r="C26" s="31"/>
      <c r="D26" s="31"/>
      <c r="E26" s="31"/>
    </row>
    <row r="27" spans="1:5" x14ac:dyDescent="0.3">
      <c r="A27" s="34" t="s">
        <v>144</v>
      </c>
      <c r="B27" s="31"/>
      <c r="C27" s="31"/>
      <c r="D27" s="31"/>
      <c r="E27" s="31"/>
    </row>
    <row r="28" spans="1:5" x14ac:dyDescent="0.3">
      <c r="A28" s="34" t="s">
        <v>145</v>
      </c>
      <c r="B28" s="31"/>
      <c r="C28" s="31"/>
      <c r="D28" s="31"/>
      <c r="E28" s="31"/>
    </row>
    <row r="29" spans="1:5" x14ac:dyDescent="0.3">
      <c r="A29" s="34" t="s">
        <v>146</v>
      </c>
      <c r="B29" s="31"/>
      <c r="C29" s="31"/>
      <c r="D29" s="31"/>
      <c r="E29" s="31"/>
    </row>
    <row r="30" spans="1:5" x14ac:dyDescent="0.3">
      <c r="A30" s="34" t="s">
        <v>147</v>
      </c>
      <c r="B30" s="31"/>
      <c r="C30" s="31"/>
      <c r="D30" s="31"/>
      <c r="E30" s="31"/>
    </row>
  </sheetData>
  <mergeCells count="10">
    <mergeCell ref="A1:E1"/>
    <mergeCell ref="A14:E14"/>
    <mergeCell ref="A27:E27"/>
    <mergeCell ref="A30:E30"/>
    <mergeCell ref="A29:E29"/>
    <mergeCell ref="A26:E26"/>
    <mergeCell ref="A24:E24"/>
    <mergeCell ref="A2:E2"/>
    <mergeCell ref="A25:E25"/>
    <mergeCell ref="A28:E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tabSelected="1" workbookViewId="0">
      <selection activeCell="D7" sqref="D7"/>
    </sheetView>
  </sheetViews>
  <sheetFormatPr defaultRowHeight="14.4" x14ac:dyDescent="0.3"/>
  <cols>
    <col min="1" max="1" width="30" customWidth="1"/>
    <col min="2" max="2" width="22" customWidth="1"/>
    <col min="3" max="3" width="17.44140625" customWidth="1"/>
    <col min="4" max="4" width="50" customWidth="1"/>
    <col min="5" max="5" width="12.6640625" customWidth="1"/>
    <col min="6" max="6" width="18.44140625" customWidth="1"/>
  </cols>
  <sheetData>
    <row r="1" spans="1:6" ht="18" x14ac:dyDescent="0.35">
      <c r="A1" s="33" t="s">
        <v>148</v>
      </c>
      <c r="B1" s="31"/>
      <c r="C1" s="31"/>
      <c r="D1" s="31"/>
      <c r="E1" s="31"/>
      <c r="F1" s="31"/>
    </row>
    <row r="2" spans="1:6" x14ac:dyDescent="0.3">
      <c r="A2" s="30" t="s">
        <v>149</v>
      </c>
      <c r="B2" s="31"/>
      <c r="C2" s="31"/>
      <c r="D2" s="31"/>
      <c r="E2" s="31"/>
      <c r="F2" s="31"/>
    </row>
    <row r="4" spans="1:6" ht="43.2" x14ac:dyDescent="0.3">
      <c r="A4" s="1" t="s">
        <v>150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129</v>
      </c>
    </row>
    <row r="5" spans="1:6" x14ac:dyDescent="0.3">
      <c r="A5" s="2" t="s">
        <v>155</v>
      </c>
      <c r="B5" s="8">
        <f>Effort_by_Module!K39*(1-Assumptions!$B$25)</f>
        <v>5062725000</v>
      </c>
      <c r="C5" s="8">
        <f>Indirect_Costs!C10</f>
        <v>900000000</v>
      </c>
      <c r="D5" s="20">
        <f>Assumptions!$B$23</f>
        <v>0.1</v>
      </c>
      <c r="E5" s="20">
        <f>Assumptions!$B$22</f>
        <v>0.1</v>
      </c>
      <c r="F5" s="8">
        <f>(B5+C5)*(1+D5+E5)</f>
        <v>7155270000.000001</v>
      </c>
    </row>
    <row r="6" spans="1:6" x14ac:dyDescent="0.3">
      <c r="A6" s="2" t="s">
        <v>156</v>
      </c>
      <c r="B6" s="8">
        <f>Effort_by_Module!K39</f>
        <v>5625250000</v>
      </c>
      <c r="C6" s="8">
        <f>Indirect_Costs!C10</f>
        <v>900000000</v>
      </c>
      <c r="D6" s="20">
        <f>Assumptions!$B$21</f>
        <v>0.15</v>
      </c>
      <c r="E6" s="20">
        <f>Assumptions!$B$22</f>
        <v>0.1</v>
      </c>
      <c r="F6" s="8">
        <f>(B6+C6)*(1+D6+E6)</f>
        <v>8156562500</v>
      </c>
    </row>
    <row r="7" spans="1:6" x14ac:dyDescent="0.3">
      <c r="A7" s="2" t="s">
        <v>157</v>
      </c>
      <c r="B7" s="8">
        <f>Effort_by_Module!K39</f>
        <v>5625250000</v>
      </c>
      <c r="C7" s="8">
        <f>Indirect_Costs!C10*(1+Assumptions!$B$26)</f>
        <v>1080000000</v>
      </c>
      <c r="D7" s="20">
        <f>Assumptions!$B$24</f>
        <v>0.25</v>
      </c>
      <c r="E7" s="20">
        <f>Assumptions!$B$22</f>
        <v>0.1</v>
      </c>
      <c r="F7" s="8">
        <f>(B7+C7)*(1+D7+E7)</f>
        <v>9052087500</v>
      </c>
    </row>
    <row r="10" spans="1:6" ht="15.6" x14ac:dyDescent="0.3">
      <c r="A10" s="32" t="s">
        <v>158</v>
      </c>
      <c r="B10" s="31"/>
      <c r="C10" s="31"/>
      <c r="D10" s="31"/>
      <c r="E10" s="31"/>
      <c r="F10" s="31"/>
    </row>
    <row r="11" spans="1:6" x14ac:dyDescent="0.3">
      <c r="A11" s="1" t="s">
        <v>159</v>
      </c>
      <c r="B11" s="1" t="s">
        <v>160</v>
      </c>
      <c r="C11" s="1" t="s">
        <v>134</v>
      </c>
      <c r="D11" s="1" t="s">
        <v>161</v>
      </c>
      <c r="E11" s="1"/>
      <c r="F11" s="1"/>
    </row>
    <row r="12" spans="1:6" ht="28.8" x14ac:dyDescent="0.3">
      <c r="A12" s="3" t="s">
        <v>162</v>
      </c>
      <c r="B12" s="4">
        <v>1500000000</v>
      </c>
      <c r="C12" s="7">
        <v>22</v>
      </c>
      <c r="D12" s="3" t="s">
        <v>163</v>
      </c>
    </row>
    <row r="13" spans="1:6" x14ac:dyDescent="0.3">
      <c r="A13" s="3" t="s">
        <v>164</v>
      </c>
      <c r="B13" s="4">
        <v>800000000</v>
      </c>
      <c r="C13" s="7">
        <v>12</v>
      </c>
      <c r="D13" s="3" t="s">
        <v>165</v>
      </c>
    </row>
    <row r="14" spans="1:6" x14ac:dyDescent="0.3">
      <c r="A14" s="3" t="s">
        <v>166</v>
      </c>
      <c r="B14" s="4">
        <v>400000000</v>
      </c>
      <c r="C14" s="7">
        <v>6</v>
      </c>
      <c r="D14" s="3" t="s">
        <v>167</v>
      </c>
    </row>
    <row r="15" spans="1:6" ht="28.8" x14ac:dyDescent="0.3">
      <c r="A15" s="3" t="s">
        <v>168</v>
      </c>
      <c r="B15" s="4">
        <v>600000000</v>
      </c>
      <c r="C15" s="7">
        <v>9</v>
      </c>
      <c r="D15" s="3" t="s">
        <v>169</v>
      </c>
    </row>
    <row r="16" spans="1:6" x14ac:dyDescent="0.3">
      <c r="A16" s="3" t="s">
        <v>170</v>
      </c>
      <c r="B16" s="4">
        <v>300000000</v>
      </c>
      <c r="C16" s="7">
        <v>4</v>
      </c>
      <c r="D16" s="3" t="s">
        <v>171</v>
      </c>
    </row>
    <row r="17" spans="1:4" x14ac:dyDescent="0.3">
      <c r="A17" s="3" t="s">
        <v>172</v>
      </c>
      <c r="B17" s="4">
        <v>500000000</v>
      </c>
      <c r="C17" s="7">
        <v>7</v>
      </c>
      <c r="D17" s="3" t="s">
        <v>173</v>
      </c>
    </row>
    <row r="18" spans="1:4" x14ac:dyDescent="0.3">
      <c r="A18" s="3" t="s">
        <v>174</v>
      </c>
      <c r="B18" s="4">
        <v>250000000</v>
      </c>
      <c r="C18" s="7">
        <v>3.5</v>
      </c>
      <c r="D18" s="3" t="s">
        <v>175</v>
      </c>
    </row>
  </sheetData>
  <mergeCells count="3">
    <mergeCell ref="A2:F2"/>
    <mergeCell ref="A1:F1"/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topLeftCell="A10" workbookViewId="0">
      <selection activeCell="D21" sqref="D21"/>
    </sheetView>
  </sheetViews>
  <sheetFormatPr defaultRowHeight="14.4" x14ac:dyDescent="0.3"/>
  <cols>
    <col min="1" max="1" width="28" customWidth="1"/>
    <col min="2" max="4" width="14" customWidth="1"/>
    <col min="5" max="5" width="15.44140625" customWidth="1"/>
    <col min="6" max="6" width="36" customWidth="1"/>
  </cols>
  <sheetData>
    <row r="1" spans="1:6" ht="18" x14ac:dyDescent="0.35">
      <c r="A1" s="33" t="s">
        <v>176</v>
      </c>
      <c r="B1" s="31"/>
      <c r="C1" s="31"/>
      <c r="D1" s="31"/>
      <c r="E1" s="31"/>
      <c r="F1" s="31"/>
    </row>
    <row r="2" spans="1:6" x14ac:dyDescent="0.3">
      <c r="A2" s="30" t="s">
        <v>177</v>
      </c>
      <c r="B2" s="31"/>
      <c r="C2" s="31"/>
      <c r="D2" s="31"/>
      <c r="E2" s="31"/>
      <c r="F2" s="31"/>
    </row>
    <row r="4" spans="1:6" ht="28.8" x14ac:dyDescent="0.3">
      <c r="A4" s="1" t="s">
        <v>178</v>
      </c>
      <c r="B4" s="1" t="s">
        <v>179</v>
      </c>
      <c r="C4" s="1" t="s">
        <v>180</v>
      </c>
      <c r="D4" s="1" t="s">
        <v>181</v>
      </c>
      <c r="E4" s="1" t="s">
        <v>182</v>
      </c>
      <c r="F4" s="1" t="s">
        <v>7</v>
      </c>
    </row>
    <row r="5" spans="1:6" x14ac:dyDescent="0.3">
      <c r="A5" s="3" t="s">
        <v>183</v>
      </c>
      <c r="B5" s="21" t="s">
        <v>184</v>
      </c>
      <c r="C5" s="22" t="s">
        <v>185</v>
      </c>
      <c r="D5" s="23" t="s">
        <v>186</v>
      </c>
      <c r="E5" s="24" t="s">
        <v>187</v>
      </c>
      <c r="F5" s="3" t="s">
        <v>188</v>
      </c>
    </row>
    <row r="6" spans="1:6" x14ac:dyDescent="0.3">
      <c r="A6" s="3" t="s">
        <v>189</v>
      </c>
      <c r="B6" s="21" t="s">
        <v>190</v>
      </c>
      <c r="C6" s="22" t="s">
        <v>191</v>
      </c>
      <c r="D6" s="23" t="s">
        <v>192</v>
      </c>
      <c r="E6" s="24" t="s">
        <v>193</v>
      </c>
      <c r="F6" s="3" t="s">
        <v>194</v>
      </c>
    </row>
    <row r="7" spans="1:6" x14ac:dyDescent="0.3">
      <c r="A7" s="3" t="s">
        <v>195</v>
      </c>
      <c r="B7" s="21" t="s">
        <v>196</v>
      </c>
      <c r="C7" s="22" t="s">
        <v>197</v>
      </c>
      <c r="D7" s="23" t="s">
        <v>198</v>
      </c>
      <c r="E7" s="24" t="s">
        <v>199</v>
      </c>
      <c r="F7" s="3" t="s">
        <v>200</v>
      </c>
    </row>
    <row r="8" spans="1:6" x14ac:dyDescent="0.3">
      <c r="A8" s="3" t="s">
        <v>201</v>
      </c>
      <c r="B8" s="21" t="s">
        <v>202</v>
      </c>
      <c r="C8" s="22" t="s">
        <v>203</v>
      </c>
      <c r="D8" s="23" t="s">
        <v>204</v>
      </c>
      <c r="E8" s="24" t="s">
        <v>205</v>
      </c>
      <c r="F8" s="3" t="s">
        <v>206</v>
      </c>
    </row>
    <row r="9" spans="1:6" x14ac:dyDescent="0.3">
      <c r="A9" s="3" t="s">
        <v>207</v>
      </c>
      <c r="B9" s="21" t="s">
        <v>208</v>
      </c>
      <c r="C9" s="22" t="s">
        <v>209</v>
      </c>
      <c r="D9" s="23" t="s">
        <v>210</v>
      </c>
      <c r="E9" s="24" t="s">
        <v>199</v>
      </c>
      <c r="F9" s="3" t="s">
        <v>211</v>
      </c>
    </row>
    <row r="10" spans="1:6" x14ac:dyDescent="0.3">
      <c r="A10" s="3" t="s">
        <v>212</v>
      </c>
      <c r="B10" s="21" t="s">
        <v>213</v>
      </c>
      <c r="C10" s="22" t="s">
        <v>214</v>
      </c>
      <c r="D10" s="23" t="s">
        <v>215</v>
      </c>
      <c r="E10" s="24" t="s">
        <v>216</v>
      </c>
      <c r="F10" s="3" t="s">
        <v>217</v>
      </c>
    </row>
    <row r="11" spans="1:6" ht="72" x14ac:dyDescent="0.3">
      <c r="A11" s="3" t="s">
        <v>218</v>
      </c>
      <c r="B11" s="21" t="s">
        <v>219</v>
      </c>
      <c r="C11" s="22" t="s">
        <v>220</v>
      </c>
      <c r="D11" s="23" t="s">
        <v>221</v>
      </c>
      <c r="E11" s="24" t="s">
        <v>222</v>
      </c>
      <c r="F11" s="3"/>
    </row>
    <row r="14" spans="1:6" x14ac:dyDescent="0.3">
      <c r="A14" s="36" t="s">
        <v>223</v>
      </c>
      <c r="B14" s="31"/>
      <c r="C14" s="31"/>
      <c r="D14" s="31"/>
      <c r="E14" s="31"/>
      <c r="F14" s="31"/>
    </row>
    <row r="15" spans="1:6" x14ac:dyDescent="0.3">
      <c r="A15" s="1" t="s">
        <v>224</v>
      </c>
      <c r="B15" s="1" t="s">
        <v>225</v>
      </c>
      <c r="C15" s="1" t="s">
        <v>226</v>
      </c>
      <c r="D15" s="1" t="s">
        <v>227</v>
      </c>
      <c r="E15" s="1" t="s">
        <v>228</v>
      </c>
      <c r="F15" s="1" t="s">
        <v>229</v>
      </c>
    </row>
    <row r="16" spans="1:6" x14ac:dyDescent="0.3">
      <c r="A16" s="3" t="s">
        <v>201</v>
      </c>
      <c r="B16" s="5">
        <v>1000</v>
      </c>
      <c r="C16" s="5">
        <v>9000</v>
      </c>
      <c r="D16" s="5">
        <v>40000</v>
      </c>
      <c r="E16" s="5">
        <v>100000</v>
      </c>
      <c r="F16" s="3" t="s">
        <v>230</v>
      </c>
    </row>
    <row r="17" spans="1:6" ht="28.8" x14ac:dyDescent="0.3">
      <c r="A17" s="3" t="s">
        <v>231</v>
      </c>
      <c r="B17" s="5">
        <v>700</v>
      </c>
      <c r="C17" s="5">
        <v>6000</v>
      </c>
      <c r="D17" s="5">
        <v>35000</v>
      </c>
      <c r="E17" s="5">
        <v>80000</v>
      </c>
      <c r="F17" s="3" t="s">
        <v>232</v>
      </c>
    </row>
    <row r="18" spans="1:6" ht="28.8" x14ac:dyDescent="0.3">
      <c r="A18" s="3" t="s">
        <v>233</v>
      </c>
      <c r="B18" s="5">
        <v>5000</v>
      </c>
      <c r="C18" s="5">
        <v>45000</v>
      </c>
      <c r="D18" s="5">
        <v>200000</v>
      </c>
      <c r="E18" s="5">
        <v>500000</v>
      </c>
      <c r="F18" s="3" t="s">
        <v>234</v>
      </c>
    </row>
    <row r="19" spans="1:6" x14ac:dyDescent="0.3">
      <c r="A19" s="3" t="s">
        <v>235</v>
      </c>
      <c r="B19" s="5">
        <v>5000</v>
      </c>
      <c r="C19" s="5">
        <v>45000</v>
      </c>
      <c r="D19" s="5">
        <v>200000</v>
      </c>
      <c r="E19" s="5">
        <v>500000</v>
      </c>
      <c r="F19" s="3" t="s">
        <v>236</v>
      </c>
    </row>
    <row r="20" spans="1:6" x14ac:dyDescent="0.3">
      <c r="A20" s="3" t="s">
        <v>237</v>
      </c>
      <c r="B20" s="5">
        <v>1000</v>
      </c>
      <c r="C20" s="5">
        <v>9000</v>
      </c>
      <c r="D20" s="5">
        <v>40000</v>
      </c>
      <c r="E20" s="5">
        <v>100000</v>
      </c>
      <c r="F20" s="3" t="s">
        <v>238</v>
      </c>
    </row>
    <row r="21" spans="1:6" x14ac:dyDescent="0.3">
      <c r="A21" s="3" t="s">
        <v>239</v>
      </c>
      <c r="B21" s="5">
        <v>1000</v>
      </c>
      <c r="C21" s="5">
        <v>9000</v>
      </c>
      <c r="D21" s="5">
        <v>40000</v>
      </c>
      <c r="E21" s="5">
        <v>100000</v>
      </c>
      <c r="F21" s="3" t="s">
        <v>240</v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workbookViewId="0">
      <selection activeCell="C13" sqref="C13"/>
    </sheetView>
  </sheetViews>
  <sheetFormatPr defaultRowHeight="14.4" x14ac:dyDescent="0.3"/>
  <cols>
    <col min="1" max="1" width="4" customWidth="1"/>
    <col min="2" max="2" width="42" customWidth="1"/>
    <col min="3" max="3" width="18.21875" customWidth="1"/>
    <col min="4" max="4" width="17.21875" customWidth="1"/>
    <col min="5" max="5" width="17" customWidth="1"/>
    <col min="6" max="6" width="19.88671875" customWidth="1"/>
  </cols>
  <sheetData>
    <row r="1" spans="1:6" ht="18" x14ac:dyDescent="0.35">
      <c r="A1" s="33" t="s">
        <v>241</v>
      </c>
      <c r="B1" s="31"/>
      <c r="C1" s="31"/>
      <c r="D1" s="31"/>
      <c r="E1" s="31"/>
      <c r="F1" s="31"/>
    </row>
    <row r="2" spans="1:6" x14ac:dyDescent="0.3">
      <c r="A2" s="30" t="s">
        <v>242</v>
      </c>
      <c r="B2" s="31"/>
      <c r="C2" s="31"/>
      <c r="D2" s="31"/>
      <c r="E2" s="31"/>
      <c r="F2" s="31"/>
    </row>
    <row r="4" spans="1:6" x14ac:dyDescent="0.3">
      <c r="A4" s="1" t="s">
        <v>3</v>
      </c>
      <c r="B4" s="1" t="s">
        <v>243</v>
      </c>
      <c r="C4" s="1" t="s">
        <v>225</v>
      </c>
      <c r="D4" s="1" t="s">
        <v>226</v>
      </c>
      <c r="E4" s="1" t="s">
        <v>227</v>
      </c>
      <c r="F4" s="1" t="s">
        <v>228</v>
      </c>
    </row>
    <row r="5" spans="1:6" ht="28.8" x14ac:dyDescent="0.3">
      <c r="A5" s="2">
        <v>1</v>
      </c>
      <c r="B5" s="3" t="s">
        <v>244</v>
      </c>
      <c r="C5" s="25">
        <v>25000000</v>
      </c>
      <c r="D5" s="26">
        <v>80000000</v>
      </c>
      <c r="E5" s="27">
        <v>250000000</v>
      </c>
      <c r="F5" s="28">
        <v>700000000</v>
      </c>
    </row>
    <row r="6" spans="1:6" ht="28.8" x14ac:dyDescent="0.3">
      <c r="A6" s="2">
        <v>2</v>
      </c>
      <c r="B6" s="3" t="s">
        <v>245</v>
      </c>
      <c r="C6" s="25">
        <v>8000000</v>
      </c>
      <c r="D6" s="26">
        <v>15000000</v>
      </c>
      <c r="E6" s="27">
        <v>30000000</v>
      </c>
      <c r="F6" s="28">
        <v>60000000</v>
      </c>
    </row>
    <row r="7" spans="1:6" x14ac:dyDescent="0.3">
      <c r="A7" s="2">
        <v>3</v>
      </c>
      <c r="B7" s="3" t="s">
        <v>246</v>
      </c>
      <c r="C7" s="25">
        <v>22500000</v>
      </c>
      <c r="D7" s="26">
        <v>45000000</v>
      </c>
      <c r="E7" s="27">
        <v>100000000</v>
      </c>
      <c r="F7" s="28">
        <v>220000000</v>
      </c>
    </row>
    <row r="8" spans="1:6" x14ac:dyDescent="0.3">
      <c r="A8" s="2">
        <v>4</v>
      </c>
      <c r="B8" s="3" t="s">
        <v>247</v>
      </c>
      <c r="C8" s="25">
        <v>15000000</v>
      </c>
      <c r="D8" s="26">
        <v>35000000</v>
      </c>
      <c r="E8" s="27">
        <v>90000000</v>
      </c>
      <c r="F8" s="28">
        <v>220000000</v>
      </c>
    </row>
    <row r="9" spans="1:6" ht="28.8" x14ac:dyDescent="0.3">
      <c r="A9" s="2">
        <v>5</v>
      </c>
      <c r="B9" s="3" t="s">
        <v>248</v>
      </c>
      <c r="C9" s="25">
        <v>100000000</v>
      </c>
      <c r="D9" s="26">
        <v>110000000</v>
      </c>
      <c r="E9" s="27">
        <v>130000000</v>
      </c>
      <c r="F9" s="28">
        <v>160000000</v>
      </c>
    </row>
    <row r="10" spans="1:6" x14ac:dyDescent="0.3">
      <c r="A10" s="2">
        <v>6</v>
      </c>
      <c r="B10" s="3" t="s">
        <v>249</v>
      </c>
      <c r="C10" s="25">
        <v>5000000</v>
      </c>
      <c r="D10" s="26">
        <v>15000000</v>
      </c>
      <c r="E10" s="27">
        <v>45000000</v>
      </c>
      <c r="F10" s="28">
        <v>120000000</v>
      </c>
    </row>
    <row r="11" spans="1:6" ht="28.8" x14ac:dyDescent="0.3">
      <c r="A11" s="2">
        <v>7</v>
      </c>
      <c r="B11" s="3" t="s">
        <v>250</v>
      </c>
      <c r="C11" s="25">
        <v>10000000</v>
      </c>
      <c r="D11" s="26">
        <v>15000000</v>
      </c>
      <c r="E11" s="27">
        <v>25000000</v>
      </c>
      <c r="F11" s="28">
        <v>40000000</v>
      </c>
    </row>
    <row r="12" spans="1:6" x14ac:dyDescent="0.3">
      <c r="A12" s="2">
        <v>8</v>
      </c>
      <c r="B12" s="3" t="s">
        <v>251</v>
      </c>
      <c r="C12" s="25">
        <v>3000000</v>
      </c>
      <c r="D12" s="26">
        <v>8000000</v>
      </c>
      <c r="E12" s="27">
        <v>15000000</v>
      </c>
      <c r="F12" s="28">
        <v>30000000</v>
      </c>
    </row>
    <row r="13" spans="1:6" ht="28.8" x14ac:dyDescent="0.3">
      <c r="A13" s="2">
        <v>9</v>
      </c>
      <c r="B13" s="3" t="s">
        <v>252</v>
      </c>
      <c r="C13" s="25">
        <v>10000000</v>
      </c>
      <c r="D13" s="26">
        <v>20000000</v>
      </c>
      <c r="E13" s="27">
        <v>50000000</v>
      </c>
      <c r="F13" s="28">
        <v>100000000</v>
      </c>
    </row>
    <row r="14" spans="1:6" x14ac:dyDescent="0.3">
      <c r="A14" s="10"/>
      <c r="B14" s="13" t="s">
        <v>253</v>
      </c>
      <c r="C14" s="12">
        <f>SUM(C5:C13)</f>
        <v>198500000</v>
      </c>
      <c r="D14" s="12">
        <f>SUM(D5:D13)</f>
        <v>343000000</v>
      </c>
      <c r="E14" s="12">
        <f>SUM(E5:E13)</f>
        <v>735000000</v>
      </c>
      <c r="F14" s="12">
        <f>SUM(F5:F13)</f>
        <v>1650000000</v>
      </c>
    </row>
    <row r="15" spans="1:6" x14ac:dyDescent="0.3">
      <c r="A15" s="10"/>
      <c r="B15" s="13" t="s">
        <v>254</v>
      </c>
      <c r="C15" s="12">
        <f>C14*12</f>
        <v>2382000000</v>
      </c>
      <c r="D15" s="12">
        <f>D14*12</f>
        <v>4116000000</v>
      </c>
      <c r="E15" s="12">
        <f>E14*12</f>
        <v>8820000000</v>
      </c>
      <c r="F15" s="12">
        <f>F14*12</f>
        <v>19800000000</v>
      </c>
    </row>
    <row r="17" spans="2:6" x14ac:dyDescent="0.3">
      <c r="B17" s="29" t="s">
        <v>255</v>
      </c>
      <c r="C17" s="20">
        <f>C15/Summary!C10</f>
        <v>0.29203478793915943</v>
      </c>
      <c r="D17" s="20">
        <f>D15/Summary!C10</f>
        <v>0.50462434389486988</v>
      </c>
      <c r="E17" s="20">
        <f>E15/Summary!C10</f>
        <v>1.0813378797747213</v>
      </c>
      <c r="F17" s="20">
        <f>F15/Summary!C10</f>
        <v>2.4274931994942723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workbookViewId="0">
      <selection activeCell="F11" sqref="F11"/>
    </sheetView>
  </sheetViews>
  <sheetFormatPr defaultRowHeight="14.4" x14ac:dyDescent="0.3"/>
  <cols>
    <col min="1" max="1" width="4" customWidth="1"/>
    <col min="2" max="2" width="42" customWidth="1"/>
    <col min="3" max="3" width="17" customWidth="1"/>
    <col min="4" max="4" width="15.6640625" customWidth="1"/>
    <col min="5" max="5" width="17.5546875" customWidth="1"/>
    <col min="6" max="6" width="19.5546875" customWidth="1"/>
  </cols>
  <sheetData>
    <row r="1" spans="1:6" ht="18" x14ac:dyDescent="0.35">
      <c r="A1" s="33" t="s">
        <v>256</v>
      </c>
      <c r="B1" s="31"/>
      <c r="C1" s="31"/>
      <c r="D1" s="31"/>
      <c r="E1" s="31"/>
      <c r="F1" s="31"/>
    </row>
    <row r="2" spans="1:6" x14ac:dyDescent="0.3">
      <c r="A2" s="30" t="s">
        <v>257</v>
      </c>
      <c r="B2" s="31"/>
      <c r="C2" s="31"/>
      <c r="D2" s="31"/>
      <c r="E2" s="31"/>
      <c r="F2" s="31"/>
    </row>
    <row r="4" spans="1:6" x14ac:dyDescent="0.3">
      <c r="A4" s="1" t="s">
        <v>3</v>
      </c>
      <c r="B4" s="1" t="s">
        <v>243</v>
      </c>
      <c r="C4" s="1" t="s">
        <v>225</v>
      </c>
      <c r="D4" s="1" t="s">
        <v>226</v>
      </c>
      <c r="E4" s="1" t="s">
        <v>227</v>
      </c>
      <c r="F4" s="1" t="s">
        <v>228</v>
      </c>
    </row>
    <row r="5" spans="1:6" x14ac:dyDescent="0.3">
      <c r="A5" s="2">
        <v>1</v>
      </c>
      <c r="B5" s="3" t="s">
        <v>258</v>
      </c>
      <c r="C5" s="25">
        <f>OPEX_Segments!B17*5000</f>
        <v>3500000</v>
      </c>
      <c r="D5" s="26">
        <f>OPEX_Segments!C17*5000</f>
        <v>30000000</v>
      </c>
      <c r="E5" s="27">
        <f>OPEX_Segments!D17*5000</f>
        <v>175000000</v>
      </c>
      <c r="F5" s="28">
        <f>OPEX_Segments!E17*5000</f>
        <v>400000000</v>
      </c>
    </row>
    <row r="6" spans="1:6" x14ac:dyDescent="0.3">
      <c r="A6" s="2">
        <v>2</v>
      </c>
      <c r="B6" s="3" t="s">
        <v>259</v>
      </c>
      <c r="C6" s="25">
        <f>OPEX_Segments!B18*600</f>
        <v>3000000</v>
      </c>
      <c r="D6" s="26">
        <f>OPEX_Segments!C18*600</f>
        <v>27000000</v>
      </c>
      <c r="E6" s="27">
        <f>OPEX_Segments!D18*600</f>
        <v>120000000</v>
      </c>
      <c r="F6" s="28">
        <f>OPEX_Segments!E18*600</f>
        <v>300000000</v>
      </c>
    </row>
    <row r="7" spans="1:6" x14ac:dyDescent="0.3">
      <c r="A7" s="2">
        <v>3</v>
      </c>
      <c r="B7" s="3" t="s">
        <v>260</v>
      </c>
      <c r="C7" s="25">
        <f>OPEX_Segments!B19*100</f>
        <v>500000</v>
      </c>
      <c r="D7" s="26">
        <f>OPEX_Segments!C19*100</f>
        <v>4500000</v>
      </c>
      <c r="E7" s="27">
        <f>OPEX_Segments!D19*100</f>
        <v>20000000</v>
      </c>
      <c r="F7" s="28">
        <f>OPEX_Segments!E19*100</f>
        <v>50000000</v>
      </c>
    </row>
    <row r="8" spans="1:6" x14ac:dyDescent="0.3">
      <c r="A8" s="2">
        <v>4</v>
      </c>
      <c r="B8" s="3" t="s">
        <v>261</v>
      </c>
      <c r="C8" s="25">
        <f>OPEX_Segments!B20*500</f>
        <v>500000</v>
      </c>
      <c r="D8" s="26">
        <f>OPEX_Segments!C20*500</f>
        <v>4500000</v>
      </c>
      <c r="E8" s="27">
        <f>OPEX_Segments!D20*500</f>
        <v>20000000</v>
      </c>
      <c r="F8" s="28">
        <f>OPEX_Segments!E20*500</f>
        <v>50000000</v>
      </c>
    </row>
    <row r="9" spans="1:6" x14ac:dyDescent="0.3">
      <c r="A9" s="2">
        <v>5</v>
      </c>
      <c r="B9" s="3" t="s">
        <v>262</v>
      </c>
      <c r="C9" s="25">
        <f>OPEX_Segments!B21*1000</f>
        <v>1000000</v>
      </c>
      <c r="D9" s="26">
        <f>OPEX_Segments!C21*1000</f>
        <v>9000000</v>
      </c>
      <c r="E9" s="27">
        <f>OPEX_Segments!D21*1000</f>
        <v>40000000</v>
      </c>
      <c r="F9" s="28">
        <f>OPEX_Segments!E21*1000</f>
        <v>100000000</v>
      </c>
    </row>
    <row r="10" spans="1:6" x14ac:dyDescent="0.3">
      <c r="A10" s="10"/>
      <c r="B10" s="13" t="s">
        <v>263</v>
      </c>
      <c r="C10" s="12">
        <f>SUM(C5:C9)</f>
        <v>8500000</v>
      </c>
      <c r="D10" s="12">
        <f>SUM(D5:D9)</f>
        <v>75000000</v>
      </c>
      <c r="E10" s="12">
        <f>SUM(E5:E9)</f>
        <v>375000000</v>
      </c>
      <c r="F10" s="12">
        <f>SUM(F5:F9)</f>
        <v>900000000</v>
      </c>
    </row>
    <row r="11" spans="1:6" x14ac:dyDescent="0.3">
      <c r="A11" s="10"/>
      <c r="B11" s="13" t="s">
        <v>264</v>
      </c>
      <c r="C11" s="12">
        <f>C10*12</f>
        <v>102000000</v>
      </c>
      <c r="D11" s="12">
        <f>D10*12</f>
        <v>900000000</v>
      </c>
      <c r="E11" s="12">
        <f>E10*12</f>
        <v>4500000000</v>
      </c>
      <c r="F11" s="12">
        <f>F10*12</f>
        <v>10800000000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6"/>
  <sheetViews>
    <sheetView workbookViewId="0">
      <selection activeCell="B17" sqref="B17"/>
    </sheetView>
  </sheetViews>
  <sheetFormatPr defaultRowHeight="14.4" x14ac:dyDescent="0.3"/>
  <cols>
    <col min="1" max="1" width="40" customWidth="1"/>
    <col min="2" max="2" width="19.77734375" customWidth="1"/>
    <col min="3" max="3" width="21.6640625" customWidth="1"/>
    <col min="4" max="4" width="22" customWidth="1"/>
    <col min="5" max="5" width="19.33203125" customWidth="1"/>
    <col min="6" max="6" width="40" customWidth="1"/>
  </cols>
  <sheetData>
    <row r="1" spans="1:6" ht="18" x14ac:dyDescent="0.35">
      <c r="A1" s="33" t="s">
        <v>265</v>
      </c>
      <c r="B1" s="31"/>
      <c r="C1" s="31"/>
      <c r="D1" s="31"/>
      <c r="E1" s="31"/>
      <c r="F1" s="31"/>
    </row>
    <row r="2" spans="1:6" x14ac:dyDescent="0.3">
      <c r="A2" s="30" t="s">
        <v>266</v>
      </c>
      <c r="B2" s="31"/>
      <c r="C2" s="31"/>
      <c r="D2" s="31"/>
      <c r="E2" s="31"/>
      <c r="F2" s="31"/>
    </row>
    <row r="4" spans="1:6" x14ac:dyDescent="0.3">
      <c r="A4" s="1" t="s">
        <v>99</v>
      </c>
      <c r="B4" s="1" t="s">
        <v>179</v>
      </c>
      <c r="C4" s="1" t="s">
        <v>267</v>
      </c>
      <c r="D4" s="1" t="s">
        <v>268</v>
      </c>
      <c r="E4" s="1" t="s">
        <v>182</v>
      </c>
      <c r="F4" s="1" t="s">
        <v>7</v>
      </c>
    </row>
    <row r="5" spans="1:6" x14ac:dyDescent="0.3">
      <c r="A5" s="3" t="s">
        <v>269</v>
      </c>
      <c r="B5" s="25">
        <f>OPEX_PlatOps!C15</f>
        <v>2382000000</v>
      </c>
      <c r="C5" s="26">
        <f>OPEX_PlatOps!D15</f>
        <v>4116000000</v>
      </c>
      <c r="D5" s="27">
        <f>OPEX_PlatOps!E15</f>
        <v>8820000000</v>
      </c>
      <c r="E5" s="28">
        <f>OPEX_PlatOps!F15</f>
        <v>19800000000</v>
      </c>
      <c r="F5" s="3" t="s">
        <v>270</v>
      </c>
    </row>
    <row r="6" spans="1:6" x14ac:dyDescent="0.3">
      <c r="A6" s="3" t="s">
        <v>271</v>
      </c>
      <c r="B6" s="25">
        <f>OPEX_PassThrough!C11</f>
        <v>102000000</v>
      </c>
      <c r="C6" s="26">
        <f>OPEX_PassThrough!D11</f>
        <v>900000000</v>
      </c>
      <c r="D6" s="27">
        <f>OPEX_PassThrough!E11</f>
        <v>4500000000</v>
      </c>
      <c r="E6" s="28">
        <f>OPEX_PassThrough!F11</f>
        <v>10800000000</v>
      </c>
      <c r="F6" s="3" t="s">
        <v>272</v>
      </c>
    </row>
    <row r="7" spans="1:6" x14ac:dyDescent="0.3">
      <c r="A7" s="13" t="s">
        <v>273</v>
      </c>
      <c r="B7" s="14">
        <f>B5+B6</f>
        <v>2484000000</v>
      </c>
      <c r="C7" s="14">
        <f>C5+C6</f>
        <v>5016000000</v>
      </c>
      <c r="D7" s="14">
        <f>D5+D6</f>
        <v>13320000000</v>
      </c>
      <c r="E7" s="14">
        <f>E5+E6</f>
        <v>30600000000</v>
      </c>
      <c r="F7" s="13"/>
    </row>
    <row r="9" spans="1:6" ht="15.6" x14ac:dyDescent="0.3">
      <c r="A9" s="35" t="s">
        <v>274</v>
      </c>
      <c r="B9" s="31"/>
      <c r="C9" s="31"/>
      <c r="D9" s="31"/>
      <c r="E9" s="31"/>
      <c r="F9" s="31"/>
    </row>
    <row r="10" spans="1:6" x14ac:dyDescent="0.3">
      <c r="A10" s="1" t="s">
        <v>99</v>
      </c>
      <c r="B10" s="1" t="s">
        <v>225</v>
      </c>
      <c r="C10" s="1" t="s">
        <v>226</v>
      </c>
      <c r="D10" s="1" t="s">
        <v>227</v>
      </c>
      <c r="E10" s="1" t="s">
        <v>228</v>
      </c>
      <c r="F10" s="1" t="s">
        <v>7</v>
      </c>
    </row>
    <row r="11" spans="1:6" ht="28.8" x14ac:dyDescent="0.3">
      <c r="A11" s="3" t="s">
        <v>275</v>
      </c>
      <c r="B11" s="25">
        <f>Summary!C10*1.35</f>
        <v>11011359375</v>
      </c>
      <c r="C11" s="26">
        <f>Summary!C10*1.35</f>
        <v>11011359375</v>
      </c>
      <c r="D11" s="27">
        <f>Summary!C10*1.35</f>
        <v>11011359375</v>
      </c>
      <c r="E11" s="28">
        <f>Summary!C10*1.35</f>
        <v>11011359375</v>
      </c>
      <c r="F11" s="3" t="s">
        <v>276</v>
      </c>
    </row>
    <row r="12" spans="1:6" x14ac:dyDescent="0.3">
      <c r="A12" s="3" t="s">
        <v>277</v>
      </c>
      <c r="B12" s="25">
        <f>B5*1.35</f>
        <v>3215700000</v>
      </c>
      <c r="C12" s="26">
        <f>C5*1.35</f>
        <v>5556600000</v>
      </c>
      <c r="D12" s="27">
        <f>D5*1.35</f>
        <v>11907000000</v>
      </c>
      <c r="E12" s="28">
        <f>E5*1.35</f>
        <v>26730000000</v>
      </c>
      <c r="F12" s="3" t="s">
        <v>278</v>
      </c>
    </row>
    <row r="13" spans="1:6" x14ac:dyDescent="0.3">
      <c r="A13" s="3" t="s">
        <v>279</v>
      </c>
      <c r="B13" s="25">
        <f>B6</f>
        <v>102000000</v>
      </c>
      <c r="C13" s="26">
        <f>C6</f>
        <v>900000000</v>
      </c>
      <c r="D13" s="27">
        <f>D6</f>
        <v>4500000000</v>
      </c>
      <c r="E13" s="28">
        <f>E6</f>
        <v>10800000000</v>
      </c>
      <c r="F13" s="3" t="s">
        <v>280</v>
      </c>
    </row>
    <row r="14" spans="1:6" x14ac:dyDescent="0.3">
      <c r="A14" s="3" t="s">
        <v>281</v>
      </c>
      <c r="B14" s="25">
        <f>B11+B12+B13</f>
        <v>14329059375</v>
      </c>
      <c r="C14" s="26">
        <f>C11+C12+C13</f>
        <v>17467959375</v>
      </c>
      <c r="D14" s="27">
        <f>D11+D12+D13</f>
        <v>27418359375</v>
      </c>
      <c r="E14" s="28">
        <f>E11+E12+E13</f>
        <v>48541359375</v>
      </c>
      <c r="F14" s="3" t="s">
        <v>282</v>
      </c>
    </row>
    <row r="15" spans="1:6" x14ac:dyDescent="0.3">
      <c r="A15" s="3" t="s">
        <v>283</v>
      </c>
      <c r="B15" s="25">
        <f>B12+B13</f>
        <v>3317700000</v>
      </c>
      <c r="C15" s="26">
        <f>C12+C13</f>
        <v>6456600000</v>
      </c>
      <c r="D15" s="27">
        <f>D12+D13</f>
        <v>16407000000</v>
      </c>
      <c r="E15" s="28">
        <f>E12+E13</f>
        <v>37530000000</v>
      </c>
      <c r="F15" s="3" t="s">
        <v>284</v>
      </c>
    </row>
    <row r="16" spans="1:6" x14ac:dyDescent="0.3">
      <c r="A16" s="3" t="s">
        <v>285</v>
      </c>
      <c r="B16" s="25">
        <f>B12+B13</f>
        <v>3317700000</v>
      </c>
      <c r="C16" s="26">
        <f>C12+C13</f>
        <v>6456600000</v>
      </c>
      <c r="D16" s="27">
        <f>D12+D13</f>
        <v>16407000000</v>
      </c>
      <c r="E16" s="28">
        <f>E12+E13</f>
        <v>37530000000</v>
      </c>
      <c r="F16" s="3" t="s">
        <v>284</v>
      </c>
    </row>
    <row r="17" spans="1:6" ht="15.6" x14ac:dyDescent="0.3">
      <c r="A17" s="15" t="s">
        <v>286</v>
      </c>
      <c r="B17" s="16">
        <f>B14+B15+B16</f>
        <v>20964459375</v>
      </c>
      <c r="C17" s="16">
        <f>C14+C15+C16</f>
        <v>30381159375</v>
      </c>
      <c r="D17" s="16">
        <f>D14+D15+D16</f>
        <v>60232359375</v>
      </c>
      <c r="E17" s="16">
        <f>E14+E15+E16</f>
        <v>123601359375</v>
      </c>
      <c r="F17" s="15" t="s">
        <v>287</v>
      </c>
    </row>
    <row r="20" spans="1:6" ht="15.6" x14ac:dyDescent="0.3">
      <c r="A20" s="32" t="s">
        <v>288</v>
      </c>
      <c r="B20" s="31"/>
      <c r="C20" s="31"/>
      <c r="D20" s="31"/>
      <c r="E20" s="31"/>
      <c r="F20" s="31"/>
    </row>
    <row r="21" spans="1:6" x14ac:dyDescent="0.3">
      <c r="A21" s="34" t="s">
        <v>289</v>
      </c>
      <c r="B21" s="31"/>
      <c r="C21" s="31"/>
      <c r="D21" s="31"/>
      <c r="E21" s="31"/>
      <c r="F21" s="31"/>
    </row>
    <row r="22" spans="1:6" x14ac:dyDescent="0.3">
      <c r="A22" s="34" t="s">
        <v>290</v>
      </c>
      <c r="B22" s="31"/>
      <c r="C22" s="31"/>
      <c r="D22" s="31"/>
      <c r="E22" s="31"/>
      <c r="F22" s="31"/>
    </row>
    <row r="23" spans="1:6" x14ac:dyDescent="0.3">
      <c r="A23" s="34" t="s">
        <v>291</v>
      </c>
      <c r="B23" s="31"/>
      <c r="C23" s="31"/>
      <c r="D23" s="31"/>
      <c r="E23" s="31"/>
      <c r="F23" s="31"/>
    </row>
    <row r="24" spans="1:6" x14ac:dyDescent="0.3">
      <c r="A24" s="34" t="s">
        <v>292</v>
      </c>
      <c r="B24" s="31"/>
      <c r="C24" s="31"/>
      <c r="D24" s="31"/>
      <c r="E24" s="31"/>
      <c r="F24" s="31"/>
    </row>
    <row r="25" spans="1:6" x14ac:dyDescent="0.3">
      <c r="A25" s="34" t="s">
        <v>293</v>
      </c>
      <c r="B25" s="31"/>
      <c r="C25" s="31"/>
      <c r="D25" s="31"/>
      <c r="E25" s="31"/>
      <c r="F25" s="31"/>
    </row>
    <row r="26" spans="1:6" x14ac:dyDescent="0.3">
      <c r="A26" s="34" t="s">
        <v>294</v>
      </c>
      <c r="B26" s="31"/>
      <c r="C26" s="31"/>
      <c r="D26" s="31"/>
      <c r="E26" s="31"/>
      <c r="F26" s="31"/>
    </row>
  </sheetData>
  <mergeCells count="10">
    <mergeCell ref="A26:F26"/>
    <mergeCell ref="A22:F22"/>
    <mergeCell ref="A20:F20"/>
    <mergeCell ref="A21:F21"/>
    <mergeCell ref="A25:F25"/>
    <mergeCell ref="A24:F24"/>
    <mergeCell ref="A2:F2"/>
    <mergeCell ref="A1:F1"/>
    <mergeCell ref="A23:F23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Assumptions</vt:lpstr>
      <vt:lpstr>Effort_by_Module</vt:lpstr>
      <vt:lpstr>Indirect_Costs</vt:lpstr>
      <vt:lpstr>Summary</vt:lpstr>
      <vt:lpstr>Scenario_Comparison</vt:lpstr>
      <vt:lpstr>OPEX_Segments</vt:lpstr>
      <vt:lpstr>OPEX_PlatOps</vt:lpstr>
      <vt:lpstr>OPEX_PassThrough</vt:lpstr>
      <vt:lpstr>OPEX_Summary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ceo@reborn.vn</cp:lastModifiedBy>
  <dcterms:created xsi:type="dcterms:W3CDTF">2026-05-11T10:37:08Z</dcterms:created>
  <dcterms:modified xsi:type="dcterms:W3CDTF">2026-05-11T11:09:22Z</dcterms:modified>
</cp:coreProperties>
</file>